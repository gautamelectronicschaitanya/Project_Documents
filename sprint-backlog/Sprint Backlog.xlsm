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D:\Chaitanya_Gautam_Project\documents\Project_Documents\sprint backlog\"/>
    </mc:Choice>
  </mc:AlternateContent>
  <xr:revisionPtr revIDLastSave="0" documentId="13_ncr:1_{E032A8B5-DA04-4367-8C6F-A95A71AE5581}" xr6:coauthVersionLast="43" xr6:coauthVersionMax="43" xr10:uidLastSave="{00000000-0000-0000-0000-000000000000}"/>
  <bookViews>
    <workbookView xWindow="-120" yWindow="-120" windowWidth="20730" windowHeight="11160" tabRatio="620" activeTab="2" xr2:uid="{00000000-000D-0000-FFFF-FFFF00000000}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6" i="6" l="1"/>
  <c r="E2" i="6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K22" i="7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5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3" i="7"/>
  <c r="R43" i="7"/>
  <c r="U43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O60" i="7" l="1"/>
  <c r="R60" i="7" s="1"/>
  <c r="O44" i="7"/>
  <c r="R44" i="7" s="1"/>
  <c r="U44" i="7" s="1"/>
  <c r="G44" i="7"/>
  <c r="G43" i="7"/>
  <c r="X43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9" i="7"/>
  <c r="O57" i="7"/>
  <c r="O55" i="7"/>
  <c r="R55" i="7" s="1"/>
  <c r="U55" i="7" s="1"/>
  <c r="G55" i="7" s="1"/>
  <c r="O53" i="7"/>
  <c r="O51" i="7"/>
  <c r="R51" i="7" s="1"/>
  <c r="U51" i="7" s="1"/>
  <c r="G51" i="7" s="1"/>
  <c r="O58" i="7"/>
  <c r="O56" i="7"/>
  <c r="R56" i="7" s="1"/>
  <c r="U56" i="7" s="1"/>
  <c r="G56" i="7" s="1"/>
  <c r="O54" i="7"/>
  <c r="R53" i="7"/>
  <c r="O52" i="7"/>
  <c r="R52" i="7" s="1"/>
  <c r="U52" i="7" s="1"/>
  <c r="G52" i="7" s="1"/>
  <c r="O50" i="7"/>
  <c r="R50" i="7" s="1"/>
  <c r="AA43" i="7"/>
  <c r="O48" i="7"/>
  <c r="R48" i="7" s="1"/>
  <c r="O46" i="7"/>
  <c r="O42" i="7"/>
  <c r="R41" i="7"/>
  <c r="O40" i="7"/>
  <c r="R39" i="7"/>
  <c r="O38" i="7"/>
  <c r="O36" i="7"/>
  <c r="O34" i="7"/>
  <c r="R33" i="7"/>
  <c r="O32" i="7"/>
  <c r="R31" i="7"/>
  <c r="O30" i="7"/>
  <c r="O28" i="7"/>
  <c r="R28" i="7" s="1"/>
  <c r="U28" i="7" s="1"/>
  <c r="G28" i="7" s="1"/>
  <c r="O26" i="7"/>
  <c r="O24" i="7"/>
  <c r="O7" i="7"/>
  <c r="R7" i="7" s="1"/>
  <c r="U7" i="7" s="1"/>
  <c r="G7" i="7" s="1"/>
  <c r="O5" i="7"/>
  <c r="O22" i="7"/>
  <c r="R22" i="7" s="1"/>
  <c r="U22" i="7" s="1"/>
  <c r="G22" i="7" s="1"/>
  <c r="O18" i="7"/>
  <c r="R15" i="7"/>
  <c r="U15" i="7" s="1"/>
  <c r="O14" i="7"/>
  <c r="R14" i="7" s="1"/>
  <c r="O12" i="7"/>
  <c r="R12" i="7" s="1"/>
  <c r="O10" i="7"/>
  <c r="R10" i="7" s="1"/>
  <c r="O9" i="7"/>
  <c r="R9" i="7" s="1"/>
  <c r="O8" i="7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54" i="7"/>
  <c r="R46" i="7"/>
  <c r="U46" i="7" s="1"/>
  <c r="G46" i="7" s="1"/>
  <c r="R25" i="7"/>
  <c r="R24" i="7"/>
  <c r="R18" i="7"/>
  <c r="U18" i="7" s="1"/>
  <c r="G18" i="7" s="1"/>
  <c r="O6" i="7"/>
  <c r="R21" i="7"/>
  <c r="O20" i="7"/>
  <c r="R17" i="7"/>
  <c r="O16" i="7"/>
  <c r="O11" i="7"/>
  <c r="R8" i="7"/>
  <c r="U8" i="7" s="1"/>
  <c r="G8" i="7" s="1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R23" i="7" l="1"/>
  <c r="R19" i="7"/>
  <c r="R29" i="7"/>
  <c r="R37" i="7"/>
  <c r="R47" i="7"/>
  <c r="X44" i="7"/>
  <c r="AA44" i="7" s="1"/>
  <c r="U53" i="7"/>
  <c r="R13" i="7"/>
  <c r="U31" i="7"/>
  <c r="G31" i="7" s="1"/>
  <c r="G53" i="7"/>
  <c r="X53" i="7"/>
  <c r="U60" i="7"/>
  <c r="R59" i="7"/>
  <c r="U59" i="7" s="1"/>
  <c r="R5" i="7"/>
  <c r="U5" i="7" s="1"/>
  <c r="G5" i="7" s="1"/>
  <c r="X31" i="7"/>
  <c r="AA31" i="7" s="1"/>
  <c r="R27" i="7"/>
  <c r="R35" i="7"/>
  <c r="R45" i="7"/>
  <c r="U45" i="7" s="1"/>
  <c r="X45" i="7" s="1"/>
  <c r="R57" i="7"/>
  <c r="U14" i="7"/>
  <c r="G14" i="7" s="1"/>
  <c r="U35" i="7"/>
  <c r="AD43" i="7"/>
  <c r="AD44" i="7"/>
  <c r="AG44" i="7" s="1"/>
  <c r="G15" i="7"/>
  <c r="X15" i="7"/>
  <c r="G45" i="7"/>
  <c r="G35" i="7"/>
  <c r="U25" i="7"/>
  <c r="G25" i="7" s="1"/>
  <c r="R11" i="7"/>
  <c r="U11" i="7" s="1"/>
  <c r="G11" i="7" s="1"/>
  <c r="U12" i="7"/>
  <c r="X8" i="7"/>
  <c r="U10" i="7"/>
  <c r="R20" i="7"/>
  <c r="X22" i="7"/>
  <c r="R26" i="7"/>
  <c r="U29" i="7"/>
  <c r="R34" i="7"/>
  <c r="R36" i="7"/>
  <c r="R42" i="7"/>
  <c r="R49" i="7"/>
  <c r="X46" i="7"/>
  <c r="U13" i="7"/>
  <c r="G13" i="7" s="1"/>
  <c r="AA15" i="7"/>
  <c r="AD15" i="7" s="1"/>
  <c r="AG15" i="7" s="1"/>
  <c r="U17" i="7"/>
  <c r="U21" i="7"/>
  <c r="G21" i="7" s="1"/>
  <c r="U37" i="7"/>
  <c r="U39" i="7"/>
  <c r="U41" i="7"/>
  <c r="U47" i="7"/>
  <c r="R58" i="7"/>
  <c r="G60" i="7"/>
  <c r="X60" i="7"/>
  <c r="AA60" i="7" s="1"/>
  <c r="X10" i="7"/>
  <c r="U9" i="7"/>
  <c r="X9" i="7" s="1"/>
  <c r="AA9" i="7" s="1"/>
  <c r="U27" i="7"/>
  <c r="R32" i="7"/>
  <c r="R38" i="7"/>
  <c r="U48" i="7"/>
  <c r="U50" i="7"/>
  <c r="X51" i="7"/>
  <c r="U54" i="7"/>
  <c r="X55" i="7"/>
  <c r="X7" i="7"/>
  <c r="AA7" i="7" s="1"/>
  <c r="AA8" i="7"/>
  <c r="U20" i="7"/>
  <c r="G20" i="7" s="1"/>
  <c r="AA22" i="7"/>
  <c r="R6" i="7"/>
  <c r="R16" i="7"/>
  <c r="X18" i="7"/>
  <c r="U24" i="7"/>
  <c r="X25" i="7"/>
  <c r="X28" i="7"/>
  <c r="R30" i="7"/>
  <c r="U33" i="7"/>
  <c r="R40" i="7"/>
  <c r="AA46" i="7"/>
  <c r="AG43" i="7"/>
  <c r="X48" i="7"/>
  <c r="X52" i="7"/>
  <c r="AA53" i="7"/>
  <c r="X56" i="7"/>
  <c r="U19" i="7"/>
  <c r="U23" i="7"/>
  <c r="R61" i="7"/>
  <c r="U61" i="7" s="1"/>
  <c r="X61" i="7" s="1"/>
  <c r="AA61" i="7" s="1"/>
  <c r="AA10" i="7" l="1"/>
  <c r="AD10" i="7" s="1"/>
  <c r="G59" i="7"/>
  <c r="X59" i="7"/>
  <c r="X35" i="7"/>
  <c r="AA35" i="7" s="1"/>
  <c r="AD35" i="7" s="1"/>
  <c r="U57" i="7"/>
  <c r="AA45" i="7"/>
  <c r="AD45" i="7" s="1"/>
  <c r="X5" i="7"/>
  <c r="AA5" i="7" s="1"/>
  <c r="X21" i="7"/>
  <c r="AA21" i="7" s="1"/>
  <c r="X13" i="7"/>
  <c r="AA13" i="7" s="1"/>
  <c r="AA59" i="7"/>
  <c r="X11" i="7"/>
  <c r="X14" i="7"/>
  <c r="AA14" i="7" s="1"/>
  <c r="AD60" i="7"/>
  <c r="AG60" i="7" s="1"/>
  <c r="G23" i="7"/>
  <c r="X23" i="7"/>
  <c r="G19" i="7"/>
  <c r="X19" i="7"/>
  <c r="AA19" i="7" s="1"/>
  <c r="U30" i="7"/>
  <c r="G30" i="7" s="1"/>
  <c r="G54" i="7"/>
  <c r="G48" i="7"/>
  <c r="U32" i="7"/>
  <c r="G9" i="7"/>
  <c r="AD9" i="7"/>
  <c r="G47" i="7"/>
  <c r="X47" i="7"/>
  <c r="G39" i="7"/>
  <c r="X39" i="7"/>
  <c r="G17" i="7"/>
  <c r="AD46" i="7"/>
  <c r="AG46" i="7" s="1"/>
  <c r="U42" i="7"/>
  <c r="U36" i="7"/>
  <c r="X36" i="7" s="1"/>
  <c r="G29" i="7"/>
  <c r="X29" i="7"/>
  <c r="U26" i="7"/>
  <c r="AD8" i="7"/>
  <c r="AA48" i="7"/>
  <c r="AD48" i="7" s="1"/>
  <c r="AA28" i="7"/>
  <c r="AD28" i="7" s="1"/>
  <c r="AG28" i="7" s="1"/>
  <c r="U6" i="7"/>
  <c r="G6" i="7" s="1"/>
  <c r="X20" i="7"/>
  <c r="AG8" i="7"/>
  <c r="AA20" i="7"/>
  <c r="AA55" i="7"/>
  <c r="AA51" i="7"/>
  <c r="AD51" i="7" s="1"/>
  <c r="AA56" i="7"/>
  <c r="AA52" i="7"/>
  <c r="X32" i="7"/>
  <c r="X17" i="7"/>
  <c r="AG10" i="7"/>
  <c r="AJ10" i="7" s="1"/>
  <c r="AJ44" i="7"/>
  <c r="AM44" i="7" s="1"/>
  <c r="AP44" i="7" s="1"/>
  <c r="U40" i="7"/>
  <c r="G33" i="7"/>
  <c r="X33" i="7"/>
  <c r="AA33" i="7" s="1"/>
  <c r="G24" i="7"/>
  <c r="X24" i="7"/>
  <c r="AD7" i="7"/>
  <c r="AG7" i="7" s="1"/>
  <c r="AJ7" i="7" s="1"/>
  <c r="G50" i="7"/>
  <c r="U38" i="7"/>
  <c r="X38" i="7" s="1"/>
  <c r="G27" i="7"/>
  <c r="X27" i="7"/>
  <c r="AA27" i="7" s="1"/>
  <c r="U58" i="7"/>
  <c r="G41" i="7"/>
  <c r="X41" i="7"/>
  <c r="G37" i="7"/>
  <c r="X37" i="7"/>
  <c r="AA37" i="7" s="1"/>
  <c r="U49" i="7"/>
  <c r="U34" i="7"/>
  <c r="G10" i="7"/>
  <c r="G12" i="7"/>
  <c r="X12" i="7"/>
  <c r="AD31" i="7"/>
  <c r="AD22" i="7"/>
  <c r="AD21" i="7"/>
  <c r="AA11" i="7"/>
  <c r="AA23" i="7"/>
  <c r="X58" i="7"/>
  <c r="X54" i="7"/>
  <c r="X50" i="7"/>
  <c r="AD55" i="7"/>
  <c r="AD53" i="7"/>
  <c r="AA18" i="7"/>
  <c r="AD18" i="7" s="1"/>
  <c r="U16" i="7"/>
  <c r="G16" i="7" s="1"/>
  <c r="AA25" i="7"/>
  <c r="AA39" i="7"/>
  <c r="AJ43" i="7"/>
  <c r="AJ15" i="7"/>
  <c r="AD61" i="7"/>
  <c r="AG5" i="7" l="1"/>
  <c r="AD5" i="7"/>
  <c r="AG45" i="7"/>
  <c r="AJ45" i="7" s="1"/>
  <c r="AM45" i="7" s="1"/>
  <c r="AD14" i="7"/>
  <c r="AG14" i="7" s="1"/>
  <c r="AJ14" i="7" s="1"/>
  <c r="AG35" i="7"/>
  <c r="AJ35" i="7" s="1"/>
  <c r="G57" i="7"/>
  <c r="X57" i="7"/>
  <c r="X30" i="7"/>
  <c r="AD59" i="7"/>
  <c r="AG59" i="7" s="1"/>
  <c r="AJ59" i="7" s="1"/>
  <c r="AD13" i="7"/>
  <c r="AG13" i="7" s="1"/>
  <c r="AJ13" i="7" s="1"/>
  <c r="AS44" i="7"/>
  <c r="AV44" i="7" s="1"/>
  <c r="AY44" i="7" s="1"/>
  <c r="AA12" i="7"/>
  <c r="G34" i="7"/>
  <c r="G49" i="7"/>
  <c r="G58" i="7"/>
  <c r="G40" i="7"/>
  <c r="AG51" i="7"/>
  <c r="AD20" i="7"/>
  <c r="AJ8" i="7"/>
  <c r="G26" i="7"/>
  <c r="G36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J28" i="7"/>
  <c r="AG21" i="7"/>
  <c r="AG22" i="7"/>
  <c r="AD24" i="7"/>
  <c r="AD25" i="7"/>
  <c r="AG31" i="7"/>
  <c r="X40" i="7"/>
  <c r="X26" i="7"/>
  <c r="X42" i="7"/>
  <c r="AG9" i="7"/>
  <c r="AG48" i="7"/>
  <c r="AJ51" i="7"/>
  <c r="X6" i="7"/>
  <c r="AA6" i="7" s="1"/>
  <c r="AG18" i="7"/>
  <c r="AD52" i="7"/>
  <c r="AG52" i="7" s="1"/>
  <c r="AG53" i="7"/>
  <c r="AD19" i="7"/>
  <c r="AJ60" i="7"/>
  <c r="AD37" i="7"/>
  <c r="AD27" i="7"/>
  <c r="G38" i="7"/>
  <c r="AA38" i="7"/>
  <c r="AD38" i="7" s="1"/>
  <c r="AA17" i="7"/>
  <c r="AG55" i="7"/>
  <c r="AJ55" i="7" s="1"/>
  <c r="AJ5" i="7"/>
  <c r="G42" i="7"/>
  <c r="AA42" i="7"/>
  <c r="AD42" i="7" s="1"/>
  <c r="G32" i="7"/>
  <c r="AA32" i="7"/>
  <c r="AD32" i="7" s="1"/>
  <c r="AM43" i="7"/>
  <c r="AP43" i="7" s="1"/>
  <c r="AD23" i="7"/>
  <c r="AM13" i="7"/>
  <c r="X49" i="7"/>
  <c r="AA58" i="7"/>
  <c r="AG23" i="7"/>
  <c r="AG25" i="7"/>
  <c r="AJ25" i="7" s="1"/>
  <c r="AM10" i="7"/>
  <c r="AP10" i="7" s="1"/>
  <c r="AD11" i="7"/>
  <c r="AA50" i="7"/>
  <c r="AA54" i="7"/>
  <c r="AM15" i="7"/>
  <c r="AA30" i="7"/>
  <c r="AA40" i="7"/>
  <c r="AD40" i="7" s="1"/>
  <c r="AA29" i="7"/>
  <c r="AD17" i="7"/>
  <c r="X16" i="7"/>
  <c r="AJ53" i="7"/>
  <c r="AM53" i="7" s="1"/>
  <c r="AP53" i="7" s="1"/>
  <c r="AS53" i="7" s="1"/>
  <c r="AV53" i="7" s="1"/>
  <c r="AY53" i="7" s="1"/>
  <c r="AD56" i="7"/>
  <c r="AA41" i="7"/>
  <c r="AG61" i="7"/>
  <c r="AG32" i="7" l="1"/>
  <c r="AA57" i="7"/>
  <c r="AD57" i="7" s="1"/>
  <c r="AS10" i="7"/>
  <c r="AV10" i="7" s="1"/>
  <c r="AY10" i="7" s="1"/>
  <c r="AJ32" i="7"/>
  <c r="AM39" i="7"/>
  <c r="AP39" i="7" s="1"/>
  <c r="AS39" i="7" s="1"/>
  <c r="AV39" i="7" s="1"/>
  <c r="AY39" i="7" s="1"/>
  <c r="AM55" i="7"/>
  <c r="AP55" i="7" s="1"/>
  <c r="AS55" i="7" s="1"/>
  <c r="AV55" i="7" s="1"/>
  <c r="AY55" i="7" s="1"/>
  <c r="BB53" i="7"/>
  <c r="BE53" i="7" s="1"/>
  <c r="BH53" i="7" s="1"/>
  <c r="CE53" i="7"/>
  <c r="CE44" i="7"/>
  <c r="BE44" i="7"/>
  <c r="BB44" i="7"/>
  <c r="BW44" i="7"/>
  <c r="BZ44" i="7" s="1"/>
  <c r="CC44" i="7"/>
  <c r="AP45" i="7"/>
  <c r="AS45" i="7" s="1"/>
  <c r="AV45" i="7" s="1"/>
  <c r="AY45" i="7" s="1"/>
  <c r="AG17" i="7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J23" i="7"/>
  <c r="AG56" i="7"/>
  <c r="AJ56" i="7" s="1"/>
  <c r="AM56" i="7" s="1"/>
  <c r="AP56" i="7" s="1"/>
  <c r="AS56" i="7" s="1"/>
  <c r="AV56" i="7" s="1"/>
  <c r="AY56" i="7" s="1"/>
  <c r="CC53" i="7"/>
  <c r="AG40" i="7"/>
  <c r="AJ40" i="7"/>
  <c r="AM40" i="7" s="1"/>
  <c r="AP40" i="7" s="1"/>
  <c r="AG50" i="7"/>
  <c r="AJ50" i="7" s="1"/>
  <c r="AM50" i="7" s="1"/>
  <c r="AP50" i="7" s="1"/>
  <c r="AS50" i="7" s="1"/>
  <c r="AV50" i="7" s="1"/>
  <c r="AY50" i="7" s="1"/>
  <c r="AG38" i="7"/>
  <c r="AJ18" i="7"/>
  <c r="AD54" i="7"/>
  <c r="AG54" i="7" s="1"/>
  <c r="AJ54" i="7" s="1"/>
  <c r="AM54" i="7" s="1"/>
  <c r="AP54" i="7" s="1"/>
  <c r="AS54" i="7" s="1"/>
  <c r="AV54" i="7" s="1"/>
  <c r="AY54" i="7" s="1"/>
  <c r="CE54" i="7" s="1"/>
  <c r="AS43" i="7"/>
  <c r="AV43" i="7" s="1"/>
  <c r="AY43" i="7" s="1"/>
  <c r="AP7" i="7"/>
  <c r="AS7" i="7" s="1"/>
  <c r="AV7" i="7" s="1"/>
  <c r="AY7" i="7" s="1"/>
  <c r="CE7" i="7" s="1"/>
  <c r="AD30" i="7"/>
  <c r="AM32" i="7"/>
  <c r="AP32" i="7" s="1"/>
  <c r="AS32" i="7" s="1"/>
  <c r="AV32" i="7" s="1"/>
  <c r="AY32" i="7" s="1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M5" i="7"/>
  <c r="AJ17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53" i="7"/>
  <c r="BN53" i="7" s="1"/>
  <c r="BQ53" i="7" s="1"/>
  <c r="BT53" i="7" s="1"/>
  <c r="BW53" i="7" s="1"/>
  <c r="BZ53" i="7" s="1"/>
  <c r="AG42" i="7"/>
  <c r="AJ21" i="7"/>
  <c r="AM25" i="7"/>
  <c r="AP25" i="7" s="1"/>
  <c r="AS25" i="7" s="1"/>
  <c r="AG27" i="7"/>
  <c r="AJ36" i="7"/>
  <c r="AA26" i="7"/>
  <c r="AM51" i="7"/>
  <c r="AM59" i="7"/>
  <c r="AP59" i="7" s="1"/>
  <c r="AS59" i="7" s="1"/>
  <c r="AV59" i="7" s="1"/>
  <c r="AY59" i="7" s="1"/>
  <c r="CE59" i="7" s="1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P13" i="7"/>
  <c r="AS13" i="7" s="1"/>
  <c r="AV13" i="7" s="1"/>
  <c r="AY13" i="7" s="1"/>
  <c r="AJ61" i="7"/>
  <c r="AG57" i="7" l="1"/>
  <c r="AJ57" i="7" s="1"/>
  <c r="AM57" i="7" s="1"/>
  <c r="AP57" i="7" s="1"/>
  <c r="AS57" i="7" s="1"/>
  <c r="AV57" i="7" s="1"/>
  <c r="AY57" i="7" s="1"/>
  <c r="CE57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E3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H41" i="7"/>
  <c r="BK41" i="7" s="1"/>
  <c r="BN41" i="7" s="1"/>
  <c r="BQ41" i="7" s="1"/>
  <c r="BT41" i="7" s="1"/>
  <c r="BW41" i="7"/>
  <c r="BZ41" i="7" s="1"/>
  <c r="CC41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CE28" i="7" l="1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CE42" i="7" l="1"/>
  <c r="AY34" i="7"/>
  <c r="CE34" i="7" s="1"/>
  <c r="CE30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1" i="7"/>
  <c r="AY61" i="7"/>
  <c r="BT61" i="7" s="1"/>
  <c r="BW61" i="7" s="1"/>
  <c r="BZ61" i="7" s="1"/>
  <c r="CC61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D2" i="6"/>
  <c r="D3" i="6"/>
  <c r="I6" i="6" s="1"/>
  <c r="J1" i="7"/>
  <c r="M1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7" i="7"/>
  <c r="K67" i="7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67" i="7"/>
  <c r="O4" i="7"/>
  <c r="R4" i="7" s="1"/>
  <c r="BJ6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7" i="7"/>
  <c r="F31" i="8"/>
  <c r="W67" i="7"/>
  <c r="T67" i="7"/>
  <c r="F37" i="8"/>
  <c r="F35" i="8"/>
  <c r="U4" i="7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7" i="7"/>
  <c r="AF6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C9" i="6"/>
  <c r="C10" i="6" s="1"/>
  <c r="AH1" i="7"/>
  <c r="L20" i="8"/>
  <c r="K22" i="8"/>
  <c r="K23" i="8"/>
  <c r="K24" i="8" s="1"/>
  <c r="K36" i="8" l="1"/>
  <c r="K35" i="8"/>
  <c r="K37" i="8"/>
  <c r="K31" i="8"/>
  <c r="G4" i="7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7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5" i="8" s="1"/>
  <c r="R29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32" i="8" l="1"/>
  <c r="R27" i="8"/>
  <c r="R28" i="8" s="1"/>
  <c r="Q27" i="8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Mitch Lacey</author>
    <author>James Waletzky</author>
  </authors>
  <commentList>
    <comment ref="I2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 xr:uid="{00000000-0006-0000-0100-000002000000}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<sst xmlns="http://schemas.openxmlformats.org/spreadsheetml/2006/main" count="311" uniqueCount="135">
  <si>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</si>
  <si>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</si>
  <si>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</si>
  <si>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</si>
  <si>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</si>
  <si>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</si>
  <si>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</si>
  <si>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</si>
  <si>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</si>
  <si>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</si>
  <si>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</si>
  <si>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</si>
  <si>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</si>
  <si>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</si>
  <si>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</si>
  <si>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</si>
  <si>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</si>
  <si>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</si>
  <si>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</si>
  <si>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</si>
  <si>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</si>
  <si>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</si>
  <si>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</si>
  <si>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</si>
  <si>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</si>
  <si>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</si>
  <si>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</si>
  <si>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</si>
  <si>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</si>
  <si>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</si>
  <si>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</si>
  <si>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</si>
  <si>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</si>
  <si>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</si>
  <si>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</si>
  <si>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</si>
  <si>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</si>
  <si>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</si>
  <si>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</si>
  <si>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</si>
  <si>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</si>
  <si>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</si>
  <si>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</si>
  <si>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</si>
  <si>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</si>
  <si>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</si>
  <si>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</si>
  <si>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</si>
  <si>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</si>
  <si>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</si>
  <si>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</si>
  <si>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</si>
  <si>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</si>
  <si>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</si>
  <si>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</si>
  <si>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</si>
  <si>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</si>
  <si>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</si>
  <si>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</si>
  <si>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</si>
  <si>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</si>
  <si>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</si>
  <si>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</si>
  <si>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</si>
  <si>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</si>
  <si>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</si>
  <si>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</si>
  <si>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</si>
  <si>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</si>
  <si>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</si>
  <si>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</si>
  <si>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</si>
  <si>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</si>
  <si>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</si>
  <si>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</si>
  <si>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</si>
  <si>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</si>
  <si>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</si>
  <si>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</si>
  <si>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</si>
  <si>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</si>
  <si>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</si>
  <si>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</si>
  <si>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</si>
  <si>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</si>
  <si>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</si>
  <si>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</si>
  <si>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</si>
  <si>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</si>
  <si>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</si>
  <si>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</si>
  <si>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</si>
  <si>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</si>
  <si>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</si>
  <si>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</si>
  <si>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</si>
  <si>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</si>
  <si>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</si>
  <si>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</si>
  <si>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</si>
  <si>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</si>
  <si>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</si>
  <si>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</si>
  <si>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</si>
  <si>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</si>
  <si>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</si>
  <si>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</si>
  <si>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</si>
  <si>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</si>
  <si>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</si>
  <si>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</si>
  <si>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</si>
  <si>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</si>
  <si>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</si>
  <si>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</si>
  <si>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</si>
  <si>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</si>
  <si>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</si>
  <si>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</si>
  <si>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</si>
  <si>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</si>
  <si>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</si>
  <si>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</si>
  <si>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</si>
  <si>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</si>
  <si>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</si>
  <si>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</si>
  <si>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</si>
  <si>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</si>
  <si>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</si>
  <si>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</si>
  <si>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</si>
  <si>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</si>
  <si>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Email</t>
  </si>
  <si>
    <t>Unassigned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</si>
</sst>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 xr:uid="{00000000-0005-0000-0000-000001000000}"/>
    <cellStyle name="Accent1 - 40%" xfId="3" xr:uid="{00000000-0005-0000-0000-000002000000}"/>
    <cellStyle name="Accent1 - 60%" xfId="4" xr:uid="{00000000-0005-0000-0000-000003000000}"/>
    <cellStyle name="Accent2" xfId="5" builtinId="33" customBuiltin="1"/>
    <cellStyle name="Accent2 - 20%" xfId="6" xr:uid="{00000000-0005-0000-0000-000005000000}"/>
    <cellStyle name="Accent2 - 40%" xfId="7" xr:uid="{00000000-0005-0000-0000-000006000000}"/>
    <cellStyle name="Accent2 - 60%" xfId="8" xr:uid="{00000000-0005-0000-0000-000007000000}"/>
    <cellStyle name="Accent3" xfId="9" builtinId="37" customBuiltin="1"/>
    <cellStyle name="Accent3 - 20%" xfId="10" xr:uid="{00000000-0005-0000-0000-000009000000}"/>
    <cellStyle name="Accent3 - 40%" xfId="11" xr:uid="{00000000-0005-0000-0000-00000A000000}"/>
    <cellStyle name="Accent3 - 60%" xfId="12" xr:uid="{00000000-0005-0000-0000-00000B000000}"/>
    <cellStyle name="Accent4" xfId="13" builtinId="41" customBuiltin="1"/>
    <cellStyle name="Accent4 - 20%" xfId="14" xr:uid="{00000000-0005-0000-0000-00000D000000}"/>
    <cellStyle name="Accent4 - 40%" xfId="15" xr:uid="{00000000-0005-0000-0000-00000E000000}"/>
    <cellStyle name="Accent4 - 60%" xfId="16" xr:uid="{00000000-0005-0000-0000-00000F000000}"/>
    <cellStyle name="Accent5" xfId="17" builtinId="45" customBuiltin="1"/>
    <cellStyle name="Accent5 - 20%" xfId="18" xr:uid="{00000000-0005-0000-0000-000011000000}"/>
    <cellStyle name="Accent5 - 40%" xfId="19" xr:uid="{00000000-0005-0000-0000-000012000000}"/>
    <cellStyle name="Accent5 - 60%" xfId="20" xr:uid="{00000000-0005-0000-0000-000013000000}"/>
    <cellStyle name="Accent6" xfId="21" builtinId="49" customBuiltin="1"/>
    <cellStyle name="Accent6 - 20%" xfId="22" xr:uid="{00000000-0005-0000-0000-000015000000}"/>
    <cellStyle name="Accent6 - 40%" xfId="23" xr:uid="{00000000-0005-0000-0000-000016000000}"/>
    <cellStyle name="Accent6 - 60%" xfId="24" xr:uid="{00000000-0005-0000-0000-000017000000}"/>
    <cellStyle name="Bad" xfId="25" builtinId="27" customBuiltin="1"/>
    <cellStyle name="Calculation" xfId="26" builtinId="22" customBuiltin="1"/>
    <cellStyle name="Check Cell" xfId="27" builtinId="23" customBuiltin="1"/>
    <cellStyle name="Emphasis 1" xfId="28" xr:uid="{00000000-0005-0000-0000-00001B000000}"/>
    <cellStyle name="Emphasis 2" xfId="29" xr:uid="{00000000-0005-0000-0000-00001C000000}"/>
    <cellStyle name="Emphasis 3" xfId="30" xr:uid="{00000000-0005-0000-0000-00001D000000}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 xr:uid="{00000000-0005-0000-0000-000028000000}"/>
    <cellStyle name="Note" xfId="40" builtinId="10" customBuiltin="1"/>
    <cellStyle name="Output" xfId="41" builtinId="21" customBuiltin="1"/>
    <cellStyle name="Sheet Title" xfId="42" xr:uid="{00000000-0005-0000-0000-00002B000000}"/>
    <cellStyle name="Total" xfId="43" builtinId="25" customBuiltin="1"/>
    <cellStyle name="Warning Text" xfId="44" builtinId="11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50-4C41-9DBD-0E12728862DE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50-4C41-9DBD-0E12728862DE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50-4C41-9DBD-0E1272886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8C-4D20-8577-5BEC05B26EFE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8C-4D20-8577-5BEC05B26EFE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8C-4D20-8577-5BEC05B26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8C-4D20-8577-5BEC05B26EFE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548C-4D20-8577-5BEC05B26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67-49DF-9BF1-EE42221D2C5A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67-49DF-9BF1-EE42221D2C5A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67-49DF-9BF1-EE42221D2C5A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67-49DF-9BF1-EE42221D2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5C-4366-BC60-0BA61AF5D2C0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5C-4366-BC60-0BA61AF5D2C0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5C-4366-BC60-0BA61AF5D2C0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5C-4366-BC60-0BA61AF5D2C0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5C-4366-BC60-0BA61AF5D2C0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5C-4366-BC60-0BA61AF5D2C0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5C-4366-BC60-0BA61AF5D2C0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5C-4366-BC60-0BA61AF5D2C0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5C-4366-BC60-0BA61AF5D2C0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45C-4366-BC60-0BA61AF5D2C0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45C-4366-BC60-0BA61AF5D2C0}"/>
            </c:ext>
          </c:extLst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45C-4366-BC60-0BA61AF5D2C0}"/>
            </c:ext>
          </c:extLst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45C-4366-BC60-0BA61AF5D2C0}"/>
            </c:ext>
          </c:extLst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45C-4366-BC60-0BA61AF5D2C0}"/>
            </c:ext>
          </c:extLst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45C-4366-BC60-0BA61AF5D2C0}"/>
            </c:ext>
          </c:extLst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45C-4366-BC60-0BA61AF5D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8F-404E-B1FB-F28275C28982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8F-404E-B1FB-F28275C28982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8F-404E-B1FB-F28275C28982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8F-404E-B1FB-F28275C28982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8F-404E-B1FB-F28275C28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>
          <a:extLst>
            <a:ext uri="{FF2B5EF4-FFF2-40B4-BE49-F238E27FC236}">
              <a16:creationId xmlns:a16="http://schemas.microsoft.com/office/drawing/2014/main" id="{00000000-0008-0000-0100-000080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>
          <a:extLst>
            <a:ext uri="{FF2B5EF4-FFF2-40B4-BE49-F238E27FC236}">
              <a16:creationId xmlns:a16="http://schemas.microsoft.com/office/drawing/2014/main" id="{00000000-0008-0000-0100-000081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E71"/>
  <sheetViews>
    <sheetView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B11" sqref="B11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43791</v>
      </c>
      <c r="H1" s="1"/>
      <c r="I1" s="1"/>
      <c r="J1" s="188">
        <f>SprintStart</f>
        <v>43791</v>
      </c>
      <c r="K1" s="188"/>
      <c r="L1" s="188"/>
      <c r="M1" s="188">
        <f>IF(AND(SkipWeekends, WEEKDAY(J1)=6),J1+3, J1+1)</f>
        <v>43792</v>
      </c>
      <c r="N1" s="188"/>
      <c r="O1" s="188"/>
      <c r="P1" s="188">
        <f>IF(AND(SkipWeekends, WEEKDAY(M1)=6),M1+3, M1+1)</f>
        <v>43793</v>
      </c>
      <c r="Q1" s="188"/>
      <c r="R1" s="188"/>
      <c r="S1" s="188">
        <f>IF(AND(SkipWeekends, WEEKDAY(P1)=6),P1+3, P1+1)</f>
        <v>43794</v>
      </c>
      <c r="T1" s="188"/>
      <c r="U1" s="188"/>
      <c r="V1" s="188">
        <f>IF(AND(SkipWeekends, WEEKDAY(S1)=6),S1+3, S1+1)</f>
        <v>43795</v>
      </c>
      <c r="W1" s="188"/>
      <c r="X1" s="188"/>
      <c r="Y1" s="188">
        <f>IF(AND(SkipWeekends, WEEKDAY(V1)=6),V1+3, V1+1)</f>
        <v>43796</v>
      </c>
      <c r="Z1" s="188"/>
      <c r="AA1" s="188"/>
      <c r="AB1" s="188">
        <f>IF(AND(SkipWeekends, WEEKDAY(Y1)=6),Y1+3, Y1+1)</f>
        <v>43797</v>
      </c>
      <c r="AC1" s="188"/>
      <c r="AD1" s="188"/>
      <c r="AE1" s="188">
        <f>IF(AND(SkipWeekends, WEEKDAY(AB1)=6),AB1+3, AB1+1)</f>
        <v>43798</v>
      </c>
      <c r="AF1" s="188"/>
      <c r="AG1" s="188"/>
      <c r="AH1" s="188">
        <f>IF(AND(SkipWeekends, WEEKDAY(AE1)=6),AE1+3, AE1+1)</f>
        <v>43799</v>
      </c>
      <c r="AI1" s="188"/>
      <c r="AJ1" s="188"/>
      <c r="AK1" s="188">
        <f>IF(AND(SkipWeekends, WEEKDAY(AH1)=6),AH1+3, AH1+1)</f>
        <v>43800</v>
      </c>
      <c r="AL1" s="188"/>
      <c r="AM1" s="188"/>
      <c r="AN1" s="188">
        <f>IF(AND(SkipWeekends, WEEKDAY(AK1)=6),AK1+3, AK1+1)</f>
        <v>43801</v>
      </c>
      <c r="AO1" s="188"/>
      <c r="AP1" s="188"/>
      <c r="AQ1" s="188">
        <f>IF(AND(SkipWeekends, WEEKDAY(AN1)=6),AN1+3, AN1+1)</f>
        <v>43802</v>
      </c>
      <c r="AR1" s="188"/>
      <c r="AS1" s="188"/>
      <c r="AT1" s="188">
        <f>IF(AND(SkipWeekends, WEEKDAY(AQ1)=6),AQ1+3, AQ1+1)</f>
        <v>43803</v>
      </c>
      <c r="AU1" s="188"/>
      <c r="AV1" s="188"/>
      <c r="AW1" s="188">
        <f>IF(AND(SkipWeekends, WEEKDAY(AT1)=6),AT1+3, AT1+1)</f>
        <v>43804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/>
      <c r="B4" s="16"/>
      <c r="C4" s="16"/>
      <c r="D4" s="17"/>
      <c r="E4" s="178"/>
      <c r="F4" s="18" t="s">
        <v>134</v>
      </c>
      <c r="G4" s="19" t="e">
        <f t="shared" ref="G4:G61" ca="1" si="0">(INDEX(Burndown,ROW(G4)-ROW(G$3),MIN(TODAY()-SprintStart,29)*3+3))</f>
        <v>#VALUE!</v>
      </c>
      <c r="H4" s="20">
        <v>1</v>
      </c>
      <c r="I4" s="21">
        <v>0</v>
      </c>
      <c r="J4" s="22">
        <v>0</v>
      </c>
      <c r="K4" s="22">
        <f t="shared" ref="K4" si="1">MAX(I4-J4, 0)</f>
        <v>0</v>
      </c>
      <c r="L4" s="23" t="str">
        <f>IF(SUMPRODUCT($J$64:K$64,$J4:K4)&lt;0.5, "Pending", IF(K4&lt;0.5, "Complete", "In Progress"))</f>
        <v>Pending</v>
      </c>
      <c r="M4" s="22">
        <v>0</v>
      </c>
      <c r="N4" s="22">
        <f t="shared" ref="N4" si="2">MAX(K4-M4,0)</f>
        <v>0</v>
      </c>
      <c r="O4" s="23" t="str">
        <f>IF(SUMPRODUCT($J$64:N$64,$J4:N4)&lt;0.5, "Pending", IF(N4&lt;0.5, "Complete", "In Progress"))</f>
        <v>Pending</v>
      </c>
      <c r="P4" s="22">
        <v>0</v>
      </c>
      <c r="Q4" s="22">
        <f t="shared" ref="Q4" si="3">MAX(N4-P4,0)</f>
        <v>0</v>
      </c>
      <c r="R4" s="23" t="str">
        <f>IF(SUMPRODUCT($J$64:Q$64,$J4:Q4)&lt;0.5, "Pending", IF(Q4&lt;0.5, "Complete", "In Progress"))</f>
        <v>Pending</v>
      </c>
      <c r="S4" s="22">
        <v>0</v>
      </c>
      <c r="T4" s="22">
        <f t="shared" ref="T4" si="4">MAX(Q4-S4,0)</f>
        <v>0</v>
      </c>
      <c r="U4" s="23" t="str">
        <f>IF(SUMPRODUCT($J$64:T$64,$J4:T4)&lt;0.5, "Pending", IF(T4&lt;0.5, "Complete", "In Progress"))</f>
        <v>Pending</v>
      </c>
      <c r="V4" s="22">
        <v>0</v>
      </c>
      <c r="W4" s="22">
        <f t="shared" ref="W4" si="5">MAX(T4-V4,0)</f>
        <v>0</v>
      </c>
      <c r="X4" s="23" t="str">
        <f>IF(SUMPRODUCT($J$64:W$64,$J4:W4)&lt;0.5, "Pending", IF(W4&lt;0.5, "Complete", "In Progress"))</f>
        <v>Pending</v>
      </c>
      <c r="Y4" s="22">
        <v>0</v>
      </c>
      <c r="Z4" s="22">
        <f t="shared" ref="Z4" si="6">MAX(W4-Y4,0)</f>
        <v>0</v>
      </c>
      <c r="AA4" s="23" t="str">
        <f>IF(SUMPRODUCT($J$64:Z$64,$J4:Z4)&lt;0.5, "Pending", IF(Z4&lt;0.5, "Complete", "In Progress"))</f>
        <v>Pending</v>
      </c>
      <c r="AB4" s="22">
        <v>0</v>
      </c>
      <c r="AC4" s="22">
        <f t="shared" ref="AC4" si="7">MAX(Z4-AB4,0)</f>
        <v>0</v>
      </c>
      <c r="AD4" s="23" t="str">
        <f>IF(SUMPRODUCT($J$64:AC$64,$J4:AC4)&lt;0.5, "Pending", IF(AC4&lt;0.5, "Complete", "In Progress"))</f>
        <v>Pending</v>
      </c>
      <c r="AE4" s="22">
        <v>0</v>
      </c>
      <c r="AF4" s="22">
        <f t="shared" ref="AF4" si="8">MAX(AC4-AE4,0)</f>
        <v>0</v>
      </c>
      <c r="AG4" s="23" t="str">
        <f>IF(SUMPRODUCT($J$64:AF$64,$J4:AF4)&lt;0.5, "Pending", IF(AF4&lt;0.5, "Complete", "In Progress"))</f>
        <v>Pending</v>
      </c>
      <c r="AH4" s="22">
        <v>0</v>
      </c>
      <c r="AI4" s="22">
        <f t="shared" ref="AI4" si="9">MAX(AF4-AH4,0)</f>
        <v>0</v>
      </c>
      <c r="AJ4" s="23" t="str">
        <f>IF(SUMPRODUCT($J$64:AI$64,$J4:AI4)&lt;0.5, "Pending", IF(AI4&lt;0.5, "Complete", "In Progress"))</f>
        <v>Pending</v>
      </c>
      <c r="AK4" s="22">
        <v>0</v>
      </c>
      <c r="AL4" s="22">
        <f t="shared" ref="AL4" si="10">MAX(AI4-AK4,0)</f>
        <v>0</v>
      </c>
      <c r="AM4" s="23" t="str">
        <f>IF(SUMPRODUCT($J$64:AL$64,$J4:AL4)&lt;0.5, "Pending", IF(AL4&lt;0.5, "Complete", "In Progress"))</f>
        <v>Pending</v>
      </c>
      <c r="AN4" s="22">
        <v>0</v>
      </c>
      <c r="AO4" s="22">
        <f t="shared" ref="AO4" si="11">MAX(AL4-AN4,0)</f>
        <v>0</v>
      </c>
      <c r="AP4" s="23" t="str">
        <f>IF(SUMPRODUCT($J$64:AO$64,$J4:AO4)&lt;0.5, "Pending", IF(AO4&lt;0.5, "Complete", "In Progress"))</f>
        <v>Pending</v>
      </c>
      <c r="AQ4" s="22">
        <v>0</v>
      </c>
      <c r="AR4" s="22">
        <f t="shared" ref="AR4" si="12">MAX(AO4-AQ4,0)</f>
        <v>0</v>
      </c>
      <c r="AS4" s="23" t="str">
        <f>IF(SUMPRODUCT($J$64:AR$64,$J4:AR4)&lt;0.5, "Pending", IF(AR4&lt;0.5, "Complete", "In Progress"))</f>
        <v>Pending</v>
      </c>
      <c r="AT4" s="22">
        <v>0</v>
      </c>
      <c r="AU4" s="22">
        <f t="shared" ref="AU4" si="13">MAX(AR4-AT4,0)</f>
        <v>0</v>
      </c>
      <c r="AV4" s="23" t="str">
        <f>IF(SUMPRODUCT($J$64:AU$64,$J4:AU4)&lt;0.5, "Pending", IF(AU4&lt;0.5, "Complete", "In Progress"))</f>
        <v>Pending</v>
      </c>
      <c r="AW4" s="22">
        <v>0</v>
      </c>
      <c r="AX4" s="22">
        <f t="shared" ref="AX4" si="14">MAX(AU4-AW4,0)</f>
        <v>0</v>
      </c>
      <c r="AY4" s="23" t="str">
        <f>IF(SUMPRODUCT($J$64:AX$64,$J4:AX4)&lt;0.5,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0</v>
      </c>
    </row>
    <row r="5" spans="1:83" x14ac:dyDescent="0.2">
      <c r="A5" s="16"/>
      <c r="B5" s="16"/>
      <c r="C5" s="16"/>
      <c r="D5" s="17"/>
      <c r="E5" s="178"/>
      <c r="F5" s="18" t="s">
        <v>134</v>
      </c>
      <c r="G5" s="19" t="e">
        <f t="shared" ca="1" si="0"/>
        <v>#VALUE!</v>
      </c>
      <c r="H5" s="20">
        <v>1</v>
      </c>
      <c r="I5" s="21">
        <v>0</v>
      </c>
      <c r="J5" s="22">
        <v>0</v>
      </c>
      <c r="K5" s="22">
        <f t="shared" ref="K5:K60" si="24">MAX(I5-J5, 0)</f>
        <v>0</v>
      </c>
      <c r="L5" s="23" t="str">
        <f>IF(SUMPRODUCT($J$64:K$64,$J5:K5)&lt;0.5, "Pending", IF(K5&lt;0.5, "Complete", "In Progress"))</f>
        <v>Pending</v>
      </c>
      <c r="M5" s="22">
        <v>0</v>
      </c>
      <c r="N5" s="22">
        <f t="shared" ref="N5:N60" si="25">MAX(K5-M5,0)</f>
        <v>0</v>
      </c>
      <c r="O5" s="23" t="str">
        <f>IF(SUMPRODUCT($J$64:N$64,$J5:N5)&lt;0.5, "Pending", IF(N5&lt;0.5, "Complete", "In Progress"))</f>
        <v>Pending</v>
      </c>
      <c r="P5" s="22">
        <v>0</v>
      </c>
      <c r="Q5" s="22">
        <f t="shared" ref="Q5:Q60" si="26">MAX(N5-P5,0)</f>
        <v>0</v>
      </c>
      <c r="R5" s="23" t="str">
        <f>IF(SUMPRODUCT($J$64:Q$64,$J5:Q5)&lt;0.5, "Pending", IF(Q5&lt;0.5, "Complete", "In Progress"))</f>
        <v>Pending</v>
      </c>
      <c r="S5" s="22">
        <v>0</v>
      </c>
      <c r="T5" s="22">
        <f t="shared" ref="T5:T60" si="27">MAX(Q5-S5,0)</f>
        <v>0</v>
      </c>
      <c r="U5" s="23" t="str">
        <f>IF(SUMPRODUCT($J$64:T$64,$J5:T5)&lt;0.5, "Pending", IF(T5&lt;0.5, "Complete", "In Progress"))</f>
        <v>Pending</v>
      </c>
      <c r="V5" s="22">
        <v>0</v>
      </c>
      <c r="W5" s="22">
        <f t="shared" ref="W5:W60" si="28">MAX(T5-V5,0)</f>
        <v>0</v>
      </c>
      <c r="X5" s="23" t="str">
        <f>IF(SUMPRODUCT($J$64:W$64,$J5:W5)&lt;0.5, "Pending", IF(W5&lt;0.5, "Complete", "In Progress"))</f>
        <v>Pending</v>
      </c>
      <c r="Y5" s="22">
        <v>0</v>
      </c>
      <c r="Z5" s="22">
        <f t="shared" ref="Z5:Z60" si="29">MAX(W5-Y5,0)</f>
        <v>0</v>
      </c>
      <c r="AA5" s="23" t="str">
        <f>IF(SUMPRODUCT($J$64:Z$64,$J5:Z5)&lt;0.5, "Pending", IF(Z5&lt;0.5, "Complete", "In Progress"))</f>
        <v>Pending</v>
      </c>
      <c r="AB5" s="22">
        <v>0</v>
      </c>
      <c r="AC5" s="22">
        <f t="shared" ref="AC5:AC60" si="30">MAX(Z5-AB5,0)</f>
        <v>0</v>
      </c>
      <c r="AD5" s="23" t="str">
        <f>IF(SUMPRODUCT($J$64:AC$64,$J5:AC5)&lt;0.5, "Pending", IF(AC5&lt;0.5, "Complete", "In Progress"))</f>
        <v>Pending</v>
      </c>
      <c r="AE5" s="22">
        <v>0</v>
      </c>
      <c r="AF5" s="22">
        <f t="shared" ref="AF5:AF60" si="31">MAX(AC5-AE5,0)</f>
        <v>0</v>
      </c>
      <c r="AG5" s="23" t="str">
        <f>IF(SUMPRODUCT($J$64:AF$64,$J5:AF5)&lt;0.5, "Pending", IF(AF5&lt;0.5, "Complete", "In Progress"))</f>
        <v>Pending</v>
      </c>
      <c r="AH5" s="22">
        <v>0</v>
      </c>
      <c r="AI5" s="22">
        <f t="shared" ref="AI5:AI60" si="32">MAX(AF5-AH5,0)</f>
        <v>0</v>
      </c>
      <c r="AJ5" s="23" t="str">
        <f>IF(SUMPRODUCT($J$64:AI$64,$J5:AI5)&lt;0.5, "Pending", IF(AI5&lt;0.5, "Complete", "In Progress"))</f>
        <v>Pending</v>
      </c>
      <c r="AK5" s="22">
        <v>0</v>
      </c>
      <c r="AL5" s="22">
        <f t="shared" ref="AL5:AL60" si="33">MAX(AI5-AK5,0)</f>
        <v>0</v>
      </c>
      <c r="AM5" s="23" t="str">
        <f>IF(SUMPRODUCT($J$64:AL$64,$J5:AL5)&lt;0.5, "Pending", IF(AL5&lt;0.5, "Complete", "In Progress"))</f>
        <v>Pending</v>
      </c>
      <c r="AN5" s="22">
        <v>0</v>
      </c>
      <c r="AO5" s="22">
        <f t="shared" ref="AO5:AO60" si="34">MAX(AL5-AN5,0)</f>
        <v>0</v>
      </c>
      <c r="AP5" s="23" t="str">
        <f>IF(SUMPRODUCT($J$64:AO$64,$J5:AO5)&lt;0.5, "Pending", IF(AO5&lt;0.5, "Complete", "In Progress"))</f>
        <v>Pending</v>
      </c>
      <c r="AQ5" s="22">
        <v>0</v>
      </c>
      <c r="AR5" s="22">
        <f t="shared" ref="AR5:AR60" si="35">MAX(AO5-AQ5,0)</f>
        <v>0</v>
      </c>
      <c r="AS5" s="23" t="str">
        <f>IF(SUMPRODUCT($J$64:AR$64,$J5:AR5)&lt;0.5, "Pending", IF(AR5&lt;0.5, "Complete", "In Progress"))</f>
        <v>Pending</v>
      </c>
      <c r="AT5" s="22">
        <v>0</v>
      </c>
      <c r="AU5" s="22">
        <f t="shared" ref="AU5:AU60" si="36">MAX(AR5-AT5,0)</f>
        <v>0</v>
      </c>
      <c r="AV5" s="23" t="str">
        <f>IF(SUMPRODUCT($J$64:AU$64,$J5:AU5)&lt;0.5, "Pending", IF(AU5&lt;0.5, "Complete", "In Progress"))</f>
        <v>Pending</v>
      </c>
      <c r="AW5" s="22">
        <v>0</v>
      </c>
      <c r="AX5" s="22">
        <f t="shared" ref="AX5:AX60" si="37">MAX(AU5-AW5,0)</f>
        <v>0</v>
      </c>
      <c r="AY5" s="23" t="str">
        <f>IF(SUMPRODUCT($J$64:AX$64,$J5:AX5)&lt;0.5,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8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9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40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1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2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3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4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5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6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0</v>
      </c>
    </row>
    <row r="6" spans="1:83" x14ac:dyDescent="0.2">
      <c r="A6" s="16"/>
      <c r="B6" s="16"/>
      <c r="C6" s="16"/>
      <c r="D6" s="17"/>
      <c r="E6" s="178"/>
      <c r="F6" s="18" t="s">
        <v>134</v>
      </c>
      <c r="G6" s="19" t="e">
        <f t="shared" ca="1" si="0"/>
        <v>#VALUE!</v>
      </c>
      <c r="H6" s="20">
        <v>1</v>
      </c>
      <c r="I6" s="21">
        <v>0</v>
      </c>
      <c r="J6" s="22">
        <v>0</v>
      </c>
      <c r="K6" s="22">
        <f t="shared" si="24"/>
        <v>0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si="25"/>
        <v>0</v>
      </c>
      <c r="O6" s="23" t="str">
        <f>IF(SUMPRODUCT($J$64:N$64,$J6:N6)&lt;0.5, "Pending", IF(N6&lt;0.5, "Complete", "In Progress"))</f>
        <v>Pending</v>
      </c>
      <c r="P6" s="22">
        <v>0</v>
      </c>
      <c r="Q6" s="22">
        <f t="shared" si="26"/>
        <v>0</v>
      </c>
      <c r="R6" s="23" t="str">
        <f>IF(SUMPRODUCT($J$64:Q$64,$J6:Q6)&lt;0.5, "Pending", IF(Q6&lt;0.5, "Complete", "In Progress"))</f>
        <v>Pending</v>
      </c>
      <c r="S6" s="22">
        <v>0</v>
      </c>
      <c r="T6" s="22">
        <f t="shared" si="27"/>
        <v>0</v>
      </c>
      <c r="U6" s="23" t="str">
        <f>IF(SUMPRODUCT($J$64:T$64,$J6:T6)&lt;0.5, "Pending", IF(T6&lt;0.5, "Complete", "In Progress"))</f>
        <v>Pending</v>
      </c>
      <c r="V6" s="22">
        <v>0</v>
      </c>
      <c r="W6" s="22">
        <f t="shared" si="28"/>
        <v>0</v>
      </c>
      <c r="X6" s="23" t="str">
        <f>IF(SUMPRODUCT($J$64:W$64,$J6:W6)&lt;0.5, "Pending", IF(W6&lt;0.5, "Complete", "In Progress"))</f>
        <v>Pending</v>
      </c>
      <c r="Y6" s="22">
        <v>0</v>
      </c>
      <c r="Z6" s="22">
        <f t="shared" si="29"/>
        <v>0</v>
      </c>
      <c r="AA6" s="23" t="str">
        <f>IF(SUMPRODUCT($J$64:Z$64,$J6:Z6)&lt;0.5, "Pending", IF(Z6&lt;0.5, "Complete", "In Progress"))</f>
        <v>Pending</v>
      </c>
      <c r="AB6" s="22">
        <v>0</v>
      </c>
      <c r="AC6" s="22">
        <f t="shared" si="30"/>
        <v>0</v>
      </c>
      <c r="AD6" s="23" t="str">
        <f>IF(SUMPRODUCT($J$64:AC$64,$J6:AC6)&lt;0.5, "Pending", IF(AC6&lt;0.5, "Complete", "In Progress"))</f>
        <v>Pending</v>
      </c>
      <c r="AE6" s="22">
        <v>0</v>
      </c>
      <c r="AF6" s="22">
        <f t="shared" si="31"/>
        <v>0</v>
      </c>
      <c r="AG6" s="23" t="str">
        <f>IF(SUMPRODUCT($J$64:AF$64,$J6:AF6)&lt;0.5, "Pending", IF(AF6&lt;0.5, "Complete", "In Progress"))</f>
        <v>Pending</v>
      </c>
      <c r="AH6" s="22">
        <v>0</v>
      </c>
      <c r="AI6" s="22">
        <f t="shared" si="32"/>
        <v>0</v>
      </c>
      <c r="AJ6" s="23" t="str">
        <f>IF(SUMPRODUCT($J$64:AI$64,$J6:AI6)&lt;0.5, "Pending", IF(AI6&lt;0.5, "Complete", "In Progress"))</f>
        <v>Pending</v>
      </c>
      <c r="AK6" s="22">
        <v>0</v>
      </c>
      <c r="AL6" s="22">
        <f t="shared" si="33"/>
        <v>0</v>
      </c>
      <c r="AM6" s="23" t="str">
        <f>IF(SUMPRODUCT($J$64:AL$64,$J6:AL6)&lt;0.5, "Pending", IF(AL6&lt;0.5, "Complete", "In Progress"))</f>
        <v>Pending</v>
      </c>
      <c r="AN6" s="22">
        <v>0</v>
      </c>
      <c r="AO6" s="22">
        <f t="shared" si="34"/>
        <v>0</v>
      </c>
      <c r="AP6" s="23" t="str">
        <f>IF(SUMPRODUCT($J$64:AO$64,$J6:AO6)&lt;0.5, "Pending", IF(AO6&lt;0.5, "Complete", "In Progress"))</f>
        <v>Pending</v>
      </c>
      <c r="AQ6" s="22">
        <v>0</v>
      </c>
      <c r="AR6" s="22">
        <f t="shared" si="35"/>
        <v>0</v>
      </c>
      <c r="AS6" s="23" t="str">
        <f>IF(SUMPRODUCT($J$64:AR$64,$J6:AR6)&lt;0.5, "Pending", IF(AR6&lt;0.5, "Complete", "In Progress"))</f>
        <v>Pending</v>
      </c>
      <c r="AT6" s="22">
        <v>0</v>
      </c>
      <c r="AU6" s="22">
        <f t="shared" si="36"/>
        <v>0</v>
      </c>
      <c r="AV6" s="23" t="str">
        <f>IF(SUMPRODUCT($J$64:AU$64,$J6:AU6)&lt;0.5, "Pending", IF(AU6&lt;0.5, "Complete", "In Progress"))</f>
        <v>Pending</v>
      </c>
      <c r="AW6" s="22">
        <v>0</v>
      </c>
      <c r="AX6" s="22">
        <f t="shared" si="37"/>
        <v>0</v>
      </c>
      <c r="AY6" s="23" t="str">
        <f>IF(SUMPRODUCT($J$64:AX$64,$J6:AX6)&lt;0.5,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0</v>
      </c>
    </row>
    <row r="7" spans="1:83" x14ac:dyDescent="0.2">
      <c r="A7" s="16"/>
      <c r="B7" s="16"/>
      <c r="C7" s="16"/>
      <c r="D7" s="17"/>
      <c r="E7" s="178"/>
      <c r="F7" s="18" t="s">
        <v>134</v>
      </c>
      <c r="G7" s="19" t="e">
        <f t="shared" ca="1" si="0"/>
        <v>#VALUE!</v>
      </c>
      <c r="H7" s="20">
        <v>1</v>
      </c>
      <c r="I7" s="21">
        <v>0</v>
      </c>
      <c r="J7" s="22">
        <v>0</v>
      </c>
      <c r="K7" s="22">
        <f t="shared" si="24"/>
        <v>0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5"/>
        <v>0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6"/>
        <v>0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7"/>
        <v>0</v>
      </c>
      <c r="U7" s="23" t="str">
        <f>IF(SUMPRODUCT($J$64:T$64,$J7:T7)&lt;0.5, "Pending", IF(T7&lt;0.5, "Complete", "In Progress"))</f>
        <v>Pending</v>
      </c>
      <c r="V7" s="22">
        <v>0</v>
      </c>
      <c r="W7" s="22">
        <f t="shared" si="28"/>
        <v>0</v>
      </c>
      <c r="X7" s="23" t="str">
        <f>IF(SUMPRODUCT($J$64:W$64,$J7:W7)&lt;0.5, "Pending", IF(W7&lt;0.5, "Complete", "In Progress"))</f>
        <v>Pending</v>
      </c>
      <c r="Y7" s="22">
        <v>0</v>
      </c>
      <c r="Z7" s="22">
        <f t="shared" si="29"/>
        <v>0</v>
      </c>
      <c r="AA7" s="23" t="str">
        <f>IF(SUMPRODUCT($J$64:Z$64,$J7:Z7)&lt;0.5, "Pending", IF(Z7&lt;0.5, "Complete", "In Progress"))</f>
        <v>Pending</v>
      </c>
      <c r="AB7" s="22">
        <v>0</v>
      </c>
      <c r="AC7" s="22">
        <f t="shared" si="30"/>
        <v>0</v>
      </c>
      <c r="AD7" s="23" t="str">
        <f>IF(SUMPRODUCT($J$64:AC$64,$J7:AC7)&lt;0.5, "Pending", IF(AC7&lt;0.5, "Complete", "In Progress"))</f>
        <v>Pending</v>
      </c>
      <c r="AE7" s="22">
        <v>0</v>
      </c>
      <c r="AF7" s="22">
        <f t="shared" si="31"/>
        <v>0</v>
      </c>
      <c r="AG7" s="23" t="str">
        <f>IF(SUMPRODUCT($J$64:AF$64,$J7:AF7)&lt;0.5, "Pending", IF(AF7&lt;0.5, "Complete", "In Progress"))</f>
        <v>Pending</v>
      </c>
      <c r="AH7" s="22">
        <v>0</v>
      </c>
      <c r="AI7" s="22">
        <f t="shared" si="32"/>
        <v>0</v>
      </c>
      <c r="AJ7" s="23" t="str">
        <f>IF(SUMPRODUCT($J$64:AI$64,$J7:AI7)&lt;0.5, "Pending", IF(AI7&lt;0.5, "Complete", "In Progress"))</f>
        <v>Pending</v>
      </c>
      <c r="AK7" s="22">
        <v>0</v>
      </c>
      <c r="AL7" s="22">
        <f t="shared" si="33"/>
        <v>0</v>
      </c>
      <c r="AM7" s="23" t="str">
        <f>IF(SUMPRODUCT($J$64:AL$64,$J7:AL7)&lt;0.5, "Pending", IF(AL7&lt;0.5, "Complete", "In Progress"))</f>
        <v>Pending</v>
      </c>
      <c r="AN7" s="22">
        <v>0</v>
      </c>
      <c r="AO7" s="22">
        <f t="shared" si="34"/>
        <v>0</v>
      </c>
      <c r="AP7" s="23" t="str">
        <f>IF(SUMPRODUCT($J$64:AO$64,$J7:AO7)&lt;0.5, "Pending", IF(AO7&lt;0.5, "Complete", "In Progress"))</f>
        <v>Pending</v>
      </c>
      <c r="AQ7" s="22">
        <v>0</v>
      </c>
      <c r="AR7" s="22">
        <f t="shared" si="35"/>
        <v>0</v>
      </c>
      <c r="AS7" s="23" t="str">
        <f>IF(SUMPRODUCT($J$64:AR$64,$J7:AR7)&lt;0.5, "Pending", IF(AR7&lt;0.5, "Complete", "In Progress"))</f>
        <v>Pending</v>
      </c>
      <c r="AT7" s="22">
        <v>0</v>
      </c>
      <c r="AU7" s="22">
        <f t="shared" si="36"/>
        <v>0</v>
      </c>
      <c r="AV7" s="23" t="str">
        <f>IF(SUMPRODUCT($J$64:AU$64,$J7:AU7)&lt;0.5, "Pending", IF(AU7&lt;0.5, "Complete", "In Progress"))</f>
        <v>Pending</v>
      </c>
      <c r="AW7" s="22">
        <v>0</v>
      </c>
      <c r="AX7" s="22">
        <f t="shared" si="37"/>
        <v>0</v>
      </c>
      <c r="AY7" s="23" t="str">
        <f>IF(SUMPRODUCT($J$64:AX$64,$J7:AX7)&lt;0.5,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0</v>
      </c>
    </row>
    <row r="8" spans="1:83" x14ac:dyDescent="0.2">
      <c r="A8" s="16"/>
      <c r="B8" s="16"/>
      <c r="C8" s="16"/>
      <c r="D8" s="17"/>
      <c r="E8" s="178"/>
      <c r="F8" s="18" t="s">
        <v>134</v>
      </c>
      <c r="G8" s="19" t="e">
        <f t="shared" ca="1" si="0"/>
        <v>#VALUE!</v>
      </c>
      <c r="H8" s="20">
        <v>1</v>
      </c>
      <c r="I8" s="21">
        <v>0</v>
      </c>
      <c r="J8" s="22">
        <v>0</v>
      </c>
      <c r="K8" s="22">
        <f t="shared" si="24"/>
        <v>0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5"/>
        <v>0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6"/>
        <v>0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7"/>
        <v>0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8"/>
        <v>0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9"/>
        <v>0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30"/>
        <v>0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1"/>
        <v>0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2"/>
        <v>0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3"/>
        <v>0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4"/>
        <v>0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5"/>
        <v>0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6"/>
        <v>0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7"/>
        <v>0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 x14ac:dyDescent="0.2">
      <c r="A9" s="16"/>
      <c r="B9" s="16"/>
      <c r="C9" s="16"/>
      <c r="D9" s="17"/>
      <c r="E9" s="178"/>
      <c r="F9" s="18" t="s">
        <v>134</v>
      </c>
      <c r="G9" s="19" t="e">
        <f t="shared" ca="1" si="0"/>
        <v>#VALUE!</v>
      </c>
      <c r="H9" s="20">
        <v>1</v>
      </c>
      <c r="I9" s="21">
        <v>0</v>
      </c>
      <c r="J9" s="22">
        <v>0</v>
      </c>
      <c r="K9" s="22">
        <f t="shared" si="24"/>
        <v>0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5"/>
        <v>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6"/>
        <v>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7"/>
        <v>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8"/>
        <v>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9"/>
        <v>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30"/>
        <v>0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1"/>
        <v>0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2"/>
        <v>0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3"/>
        <v>0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4"/>
        <v>0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5"/>
        <v>0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6"/>
        <v>0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7"/>
        <v>0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 x14ac:dyDescent="0.2">
      <c r="A10" s="16"/>
      <c r="B10" s="16"/>
      <c r="C10" s="16"/>
      <c r="D10" s="17"/>
      <c r="E10" s="178"/>
      <c r="F10" s="18" t="s">
        <v>134</v>
      </c>
      <c r="G10" s="19" t="e">
        <f t="shared" ca="1" si="0"/>
        <v>#VALUE!</v>
      </c>
      <c r="H10" s="20">
        <v>1</v>
      </c>
      <c r="I10" s="21">
        <v>0</v>
      </c>
      <c r="J10" s="22">
        <v>0</v>
      </c>
      <c r="K10" s="22">
        <f t="shared" si="24"/>
        <v>0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5"/>
        <v>0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6"/>
        <v>0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7"/>
        <v>0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8"/>
        <v>0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9"/>
        <v>0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30"/>
        <v>0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1"/>
        <v>0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2"/>
        <v>0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3"/>
        <v>0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4"/>
        <v>0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5"/>
        <v>0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6"/>
        <v>0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7"/>
        <v>0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 x14ac:dyDescent="0.2">
      <c r="A11" s="16"/>
      <c r="B11" s="16"/>
      <c r="C11" s="16"/>
      <c r="D11" s="17"/>
      <c r="E11" s="178"/>
      <c r="F11" s="18" t="s">
        <v>134</v>
      </c>
      <c r="G11" s="19" t="e">
        <f t="shared" ca="1" si="0"/>
        <v>#VALUE!</v>
      </c>
      <c r="H11" s="20">
        <v>1</v>
      </c>
      <c r="I11" s="21">
        <v>0</v>
      </c>
      <c r="J11" s="22">
        <v>0</v>
      </c>
      <c r="K11" s="22">
        <f t="shared" si="24"/>
        <v>0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5"/>
        <v>0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6"/>
        <v>0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7"/>
        <v>0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8"/>
        <v>0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9"/>
        <v>0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30"/>
        <v>0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1"/>
        <v>0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2"/>
        <v>0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3"/>
        <v>0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4"/>
        <v>0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5"/>
        <v>0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6"/>
        <v>0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7"/>
        <v>0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x14ac:dyDescent="0.2">
      <c r="A12" s="16"/>
      <c r="B12" s="16"/>
      <c r="C12" s="16"/>
      <c r="D12" s="17"/>
      <c r="E12" s="178"/>
      <c r="F12" s="18" t="s">
        <v>134</v>
      </c>
      <c r="G12" s="19" t="e">
        <f t="shared" ca="1" si="0"/>
        <v>#VALUE!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x14ac:dyDescent="0.2">
      <c r="A13" s="16"/>
      <c r="B13" s="16"/>
      <c r="C13" s="16"/>
      <c r="D13" s="17"/>
      <c r="E13" s="178"/>
      <c r="F13" s="18" t="s">
        <v>134</v>
      </c>
      <c r="G13" s="19" t="e">
        <f t="shared" ca="1" si="0"/>
        <v>#VALUE!</v>
      </c>
      <c r="H13" s="20">
        <v>1</v>
      </c>
      <c r="I13" s="21">
        <v>0</v>
      </c>
      <c r="J13" s="22">
        <v>0</v>
      </c>
      <c r="K13" s="22">
        <f t="shared" si="24"/>
        <v>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5"/>
        <v>0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6"/>
        <v>0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7"/>
        <v>0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8"/>
        <v>0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9"/>
        <v>0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30"/>
        <v>0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1"/>
        <v>0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2"/>
        <v>0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3"/>
        <v>0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4"/>
        <v>0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5"/>
        <v>0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6"/>
        <v>0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7"/>
        <v>0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 x14ac:dyDescent="0.2">
      <c r="A14" s="16"/>
      <c r="B14" s="16"/>
      <c r="C14" s="16"/>
      <c r="D14" s="17"/>
      <c r="E14" s="178"/>
      <c r="F14" s="18" t="s">
        <v>134</v>
      </c>
      <c r="G14" s="19" t="e">
        <f t="shared" ca="1" si="0"/>
        <v>#VALUE!</v>
      </c>
      <c r="H14" s="20">
        <v>1</v>
      </c>
      <c r="I14" s="21">
        <v>0</v>
      </c>
      <c r="J14" s="22">
        <v>0</v>
      </c>
      <c r="K14" s="22">
        <f t="shared" si="24"/>
        <v>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5"/>
        <v>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6"/>
        <v>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7"/>
        <v>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8"/>
        <v>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9"/>
        <v>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30"/>
        <v>0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1"/>
        <v>0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2"/>
        <v>0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3"/>
        <v>0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4"/>
        <v>0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5"/>
        <v>0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6"/>
        <v>0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7"/>
        <v>0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x14ac:dyDescent="0.2">
      <c r="A15" s="16"/>
      <c r="B15" s="16"/>
      <c r="C15" s="16"/>
      <c r="D15" s="17"/>
      <c r="E15" s="178"/>
      <c r="F15" s="18" t="s">
        <v>134</v>
      </c>
      <c r="G15" s="19" t="e">
        <f t="shared" ca="1" si="0"/>
        <v>#VALUE!</v>
      </c>
      <c r="H15" s="20">
        <v>1</v>
      </c>
      <c r="I15" s="21">
        <v>0</v>
      </c>
      <c r="J15" s="22">
        <v>0</v>
      </c>
      <c r="K15" s="22">
        <f t="shared" si="24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5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6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7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8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9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30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1"/>
        <v>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2"/>
        <v>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3"/>
        <v>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4"/>
        <v>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5"/>
        <v>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6"/>
        <v>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7"/>
        <v>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x14ac:dyDescent="0.2">
      <c r="A16" s="16"/>
      <c r="B16" s="16"/>
      <c r="C16" s="16"/>
      <c r="D16" s="17"/>
      <c r="E16" s="178"/>
      <c r="F16" s="18" t="s">
        <v>134</v>
      </c>
      <c r="G16" s="19" t="e">
        <f t="shared" ca="1" si="0"/>
        <v>#VALUE!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x14ac:dyDescent="0.2">
      <c r="A17" s="16"/>
      <c r="B17" s="16"/>
      <c r="C17" s="16"/>
      <c r="D17" s="17"/>
      <c r="E17" s="178"/>
      <c r="F17" s="18" t="s">
        <v>134</v>
      </c>
      <c r="G17" s="19" t="e">
        <f t="shared" ca="1" si="0"/>
        <v>#VALUE!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5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6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7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8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9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30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1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2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3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4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5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6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7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x14ac:dyDescent="0.2">
      <c r="A18" s="16"/>
      <c r="B18" s="16"/>
      <c r="C18" s="16"/>
      <c r="D18" s="17"/>
      <c r="E18" s="178"/>
      <c r="F18" s="18" t="s">
        <v>134</v>
      </c>
      <c r="G18" s="19" t="e">
        <f t="shared" ca="1" si="0"/>
        <v>#VALUE!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5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6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7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8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9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30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1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2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3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4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5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6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7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x14ac:dyDescent="0.2">
      <c r="A19" s="16"/>
      <c r="B19" s="16"/>
      <c r="C19" s="16"/>
      <c r="D19" s="17"/>
      <c r="E19" s="178"/>
      <c r="F19" s="18" t="s">
        <v>134</v>
      </c>
      <c r="G19" s="19" t="e">
        <f t="shared" ca="1" si="0"/>
        <v>#VALUE!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5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6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7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8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9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30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1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2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3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4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5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6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7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x14ac:dyDescent="0.2">
      <c r="A20" s="16"/>
      <c r="B20" s="16"/>
      <c r="C20" s="16"/>
      <c r="D20" s="17"/>
      <c r="E20" s="178"/>
      <c r="F20" s="18" t="s">
        <v>134</v>
      </c>
      <c r="G20" s="19" t="e">
        <f t="shared" ca="1" si="0"/>
        <v>#VALUE!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5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6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7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8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9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30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1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2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3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4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5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6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7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x14ac:dyDescent="0.2">
      <c r="A21" s="16"/>
      <c r="B21" s="16"/>
      <c r="C21" s="16"/>
      <c r="D21" s="17"/>
      <c r="E21" s="178"/>
      <c r="F21" s="18" t="s">
        <v>134</v>
      </c>
      <c r="G21" s="19" t="e">
        <f t="shared" ca="1" si="0"/>
        <v>#VALUE!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5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6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7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8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9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30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1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2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3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4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5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6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7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x14ac:dyDescent="0.2">
      <c r="A22" s="16"/>
      <c r="B22" s="16"/>
      <c r="C22" s="16"/>
      <c r="D22" s="17"/>
      <c r="E22" s="178"/>
      <c r="F22" s="18" t="s">
        <v>134</v>
      </c>
      <c r="G22" s="19" t="e">
        <f t="shared" ca="1" si="0"/>
        <v>#VALUE!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5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6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7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8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9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30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1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2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3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4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5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6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7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x14ac:dyDescent="0.2">
      <c r="A23" s="16"/>
      <c r="B23" s="16"/>
      <c r="C23" s="16"/>
      <c r="D23" s="17"/>
      <c r="E23" s="178"/>
      <c r="F23" s="18" t="s">
        <v>134</v>
      </c>
      <c r="G23" s="19" t="e">
        <f t="shared" ca="1" si="0"/>
        <v>#VALUE!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5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6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7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8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9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30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1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2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3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4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5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6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7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x14ac:dyDescent="0.2">
      <c r="A24" s="16"/>
      <c r="B24" s="16"/>
      <c r="C24" s="16"/>
      <c r="D24" s="17"/>
      <c r="E24" s="178"/>
      <c r="F24" s="18" t="s">
        <v>134</v>
      </c>
      <c r="G24" s="19" t="e">
        <f t="shared" ca="1" si="0"/>
        <v>#VALUE!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134</v>
      </c>
      <c r="G25" s="19" t="e">
        <f t="shared" ca="1" si="0"/>
        <v>#VALUE!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134</v>
      </c>
      <c r="G26" s="19" t="e">
        <f t="shared" ca="1" si="0"/>
        <v>#VALUE!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134</v>
      </c>
      <c r="G27" s="19" t="e">
        <f t="shared" ca="1" si="0"/>
        <v>#VALUE!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134</v>
      </c>
      <c r="G28" s="19" t="e">
        <f t="shared" ca="1" si="0"/>
        <v>#VALUE!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134</v>
      </c>
      <c r="G29" s="19" t="e">
        <f t="shared" ca="1" si="0"/>
        <v>#VALUE!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134</v>
      </c>
      <c r="G30" s="19" t="e">
        <f t="shared" ca="1" si="0"/>
        <v>#VALUE!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134</v>
      </c>
      <c r="G31" s="19" t="e">
        <f t="shared" ca="1" si="0"/>
        <v>#VALUE!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134</v>
      </c>
      <c r="G32" s="19" t="e">
        <f t="shared" ca="1" si="0"/>
        <v>#VALUE!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134</v>
      </c>
      <c r="G33" s="19" t="e">
        <f t="shared" ca="1" si="0"/>
        <v>#VALUE!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134</v>
      </c>
      <c r="G34" s="19" t="e">
        <f t="shared" ca="1" si="0"/>
        <v>#VALUE!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134</v>
      </c>
      <c r="G35" s="19" t="e">
        <f t="shared" ca="1" si="0"/>
        <v>#VALUE!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134</v>
      </c>
      <c r="G36" s="19" t="e">
        <f t="shared" ca="1" si="0"/>
        <v>#VALUE!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134</v>
      </c>
      <c r="G37" s="19" t="e">
        <f t="shared" ca="1" si="0"/>
        <v>#VALUE!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134</v>
      </c>
      <c r="G38" s="19" t="e">
        <f t="shared" ca="1" si="0"/>
        <v>#VALUE!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134</v>
      </c>
      <c r="G39" s="19" t="e">
        <f t="shared" ca="1" si="0"/>
        <v>#VALUE!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134</v>
      </c>
      <c r="G40" s="19" t="e">
        <f t="shared" ca="1" si="0"/>
        <v>#VALUE!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134</v>
      </c>
      <c r="G41" s="19" t="e">
        <f t="shared" ca="1" si="0"/>
        <v>#VALUE!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134</v>
      </c>
      <c r="G42" s="19" t="e">
        <f t="shared" ca="1" si="0"/>
        <v>#VALUE!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134</v>
      </c>
      <c r="G43" s="19" t="e">
        <f t="shared" ca="1" si="0"/>
        <v>#VALUE!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134</v>
      </c>
      <c r="G44" s="19" t="e">
        <f t="shared" ca="1" si="0"/>
        <v>#VALUE!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134</v>
      </c>
      <c r="G45" s="19" t="e">
        <f t="shared" ca="1" si="0"/>
        <v>#VALUE!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134</v>
      </c>
      <c r="G46" s="19" t="e">
        <f t="shared" ca="1" si="0"/>
        <v>#VALUE!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134</v>
      </c>
      <c r="G47" s="19" t="e">
        <f t="shared" ca="1" si="0"/>
        <v>#VALUE!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134</v>
      </c>
      <c r="G48" s="19" t="e">
        <f t="shared" ca="1" si="0"/>
        <v>#VALUE!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134</v>
      </c>
      <c r="G49" s="19" t="e">
        <f t="shared" ca="1" si="0"/>
        <v>#VALUE!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134</v>
      </c>
      <c r="G50" s="19" t="e">
        <f t="shared" ca="1" si="0"/>
        <v>#VALUE!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134</v>
      </c>
      <c r="G51" s="19" t="e">
        <f t="shared" ca="1" si="0"/>
        <v>#VALUE!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134</v>
      </c>
      <c r="G52" s="19" t="e">
        <f t="shared" ca="1" si="0"/>
        <v>#VALUE!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134</v>
      </c>
      <c r="G53" s="19" t="e">
        <f t="shared" ca="1" si="0"/>
        <v>#VALUE!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134</v>
      </c>
      <c r="G54" s="19" t="e">
        <f t="shared" ca="1" si="0"/>
        <v>#VALUE!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134</v>
      </c>
      <c r="G55" s="19" t="e">
        <f t="shared" ca="1" si="0"/>
        <v>#VALUE!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134</v>
      </c>
      <c r="G56" s="19" t="e">
        <f t="shared" ca="1" si="0"/>
        <v>#VALUE!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134</v>
      </c>
      <c r="G57" s="19" t="e">
        <f t="shared" ca="1" si="0"/>
        <v>#VALUE!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134</v>
      </c>
      <c r="G58" s="19" t="e">
        <f t="shared" ca="1" si="0"/>
        <v>#VALUE!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134</v>
      </c>
      <c r="G59" s="19" t="e">
        <f t="shared" ca="1" si="0"/>
        <v>#VALUE!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134</v>
      </c>
      <c r="G60" s="19" t="e">
        <f t="shared" ca="1" si="0"/>
        <v>#VALUE!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x14ac:dyDescent="0.2">
      <c r="A61" s="16"/>
      <c r="B61" s="16"/>
      <c r="C61" s="16"/>
      <c r="D61" s="17"/>
      <c r="E61" s="177"/>
      <c r="F61" s="18" t="s">
        <v>48</v>
      </c>
      <c r="G61" s="19" t="e">
        <f t="shared" ca="1" si="0"/>
        <v>#VALUE!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89" t="s">
        <v>9</v>
      </c>
      <c r="K63" s="190"/>
      <c r="L63" s="30">
        <v>1</v>
      </c>
      <c r="M63" s="187" t="s">
        <v>9</v>
      </c>
      <c r="N63" s="191"/>
      <c r="O63" s="30">
        <f>L63+1</f>
        <v>2</v>
      </c>
      <c r="P63" s="187" t="s">
        <v>9</v>
      </c>
      <c r="Q63" s="191"/>
      <c r="R63" s="30">
        <f>O63+1</f>
        <v>3</v>
      </c>
      <c r="S63" s="187" t="s">
        <v>9</v>
      </c>
      <c r="T63" s="191"/>
      <c r="U63" s="30">
        <f>R63+1</f>
        <v>4</v>
      </c>
      <c r="V63" s="187" t="s">
        <v>9</v>
      </c>
      <c r="W63" s="191"/>
      <c r="X63" s="30">
        <f>U63+1</f>
        <v>5</v>
      </c>
      <c r="Y63" s="187" t="s">
        <v>9</v>
      </c>
      <c r="Z63" s="187"/>
      <c r="AA63" s="30">
        <f>X63+1</f>
        <v>6</v>
      </c>
      <c r="AB63" s="187" t="s">
        <v>9</v>
      </c>
      <c r="AC63" s="187"/>
      <c r="AD63" s="30">
        <f>AA63+1</f>
        <v>7</v>
      </c>
      <c r="AE63" s="187" t="s">
        <v>9</v>
      </c>
      <c r="AF63" s="187"/>
      <c r="AG63" s="30">
        <f>AD63+1</f>
        <v>8</v>
      </c>
      <c r="AH63" s="187" t="s">
        <v>9</v>
      </c>
      <c r="AI63" s="187"/>
      <c r="AJ63" s="30">
        <f>AG63+1</f>
        <v>9</v>
      </c>
      <c r="AK63" s="187" t="s">
        <v>9</v>
      </c>
      <c r="AL63" s="187"/>
      <c r="AM63" s="30">
        <f>AJ63+1</f>
        <v>10</v>
      </c>
      <c r="AN63" s="187" t="s">
        <v>9</v>
      </c>
      <c r="AO63" s="187"/>
      <c r="AP63" s="30">
        <f>AM63+1</f>
        <v>11</v>
      </c>
      <c r="AQ63" s="187" t="s">
        <v>9</v>
      </c>
      <c r="AR63" s="187"/>
      <c r="AS63" s="30">
        <f>AP63+1</f>
        <v>12</v>
      </c>
      <c r="AT63" s="187" t="s">
        <v>9</v>
      </c>
      <c r="AU63" s="187"/>
      <c r="AV63" s="30">
        <f>AS63+1</f>
        <v>13</v>
      </c>
      <c r="AW63" s="187" t="s">
        <v>9</v>
      </c>
      <c r="AX63" s="187"/>
      <c r="AY63" s="30">
        <f>AV63+1</f>
        <v>14</v>
      </c>
      <c r="AZ63" s="187" t="s">
        <v>9</v>
      </c>
      <c r="BA63" s="191"/>
      <c r="BB63" s="30" t="e">
        <f>#REF!+1</f>
        <v>#REF!</v>
      </c>
      <c r="BC63" s="187" t="s">
        <v>9</v>
      </c>
      <c r="BD63" s="191"/>
      <c r="BE63" s="30" t="e">
        <f>BB63+1</f>
        <v>#REF!</v>
      </c>
      <c r="BF63" s="187" t="s">
        <v>9</v>
      </c>
      <c r="BG63" s="191"/>
      <c r="BH63" s="30" t="e">
        <f>BE63+1</f>
        <v>#REF!</v>
      </c>
      <c r="BI63" s="187" t="s">
        <v>9</v>
      </c>
      <c r="BJ63" s="191"/>
      <c r="BK63" s="30" t="e">
        <f>BH63+1</f>
        <v>#REF!</v>
      </c>
      <c r="BL63" s="187" t="s">
        <v>9</v>
      </c>
      <c r="BM63" s="191"/>
      <c r="BN63" s="30" t="e">
        <f>BK63+1</f>
        <v>#REF!</v>
      </c>
      <c r="BO63" s="187" t="s">
        <v>9</v>
      </c>
      <c r="BP63" s="191"/>
      <c r="BQ63" s="30" t="e">
        <f>BN63+1</f>
        <v>#REF!</v>
      </c>
      <c r="BR63" s="187" t="s">
        <v>9</v>
      </c>
      <c r="BS63" s="191"/>
      <c r="BT63" s="30" t="e">
        <f>BQ63+1</f>
        <v>#REF!</v>
      </c>
      <c r="BU63" s="187" t="s">
        <v>9</v>
      </c>
      <c r="BV63" s="191"/>
      <c r="BW63" s="30" t="e">
        <f>BT63+1</f>
        <v>#REF!</v>
      </c>
      <c r="BX63" s="187" t="s">
        <v>9</v>
      </c>
      <c r="BY63" s="191"/>
      <c r="BZ63" s="30" t="e">
        <f>BW63+1</f>
        <v>#REF!</v>
      </c>
      <c r="CA63" s="187" t="s">
        <v>9</v>
      </c>
      <c r="CB63" s="191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0</v>
      </c>
      <c r="J67" s="156">
        <f>SUBTOTAL(109,J$4:J$62)</f>
        <v>0</v>
      </c>
      <c r="K67" s="156">
        <f>SUBTOTAL(109,K$4:K$61)</f>
        <v>0</v>
      </c>
      <c r="L67" s="39"/>
      <c r="M67" s="39">
        <f>SUBTOTAL(109,M$4:M$62)</f>
        <v>0</v>
      </c>
      <c r="N67" s="39">
        <f>SUBTOTAL(109,N$4:N$61)</f>
        <v>0</v>
      </c>
      <c r="O67" s="39"/>
      <c r="P67" s="39">
        <f>SUBTOTAL(109,P$4:P$62)</f>
        <v>0</v>
      </c>
      <c r="Q67" s="39">
        <f>SUBTOTAL(109,Q$4:Q$61)</f>
        <v>0</v>
      </c>
      <c r="R67" s="39"/>
      <c r="S67" s="39">
        <f>SUBTOTAL(109,S$4:S$62)</f>
        <v>0</v>
      </c>
      <c r="T67" s="39">
        <f>SUBTOTAL(109,T$4:T$61)</f>
        <v>0</v>
      </c>
      <c r="U67" s="39"/>
      <c r="V67" s="39">
        <f>SUBTOTAL(109,V$4:V$62)</f>
        <v>0</v>
      </c>
      <c r="W67" s="39">
        <f>SUBTOTAL(109,W$4:W$61)</f>
        <v>0</v>
      </c>
      <c r="X67" s="39"/>
      <c r="Y67" s="39">
        <f>SUBTOTAL(109,Y$4:Y$62)</f>
        <v>0</v>
      </c>
      <c r="Z67" s="39">
        <f>SUBTOTAL(109,Z$4:Z$61)</f>
        <v>0</v>
      </c>
      <c r="AA67" s="39"/>
      <c r="AB67" s="39">
        <f>SUBTOTAL(109,AB$4:AB$62)</f>
        <v>0</v>
      </c>
      <c r="AC67" s="39">
        <f>SUBTOTAL(109,AC$4:AC$61)</f>
        <v>0</v>
      </c>
      <c r="AD67" s="39"/>
      <c r="AE67" s="39">
        <f>SUBTOTAL(109,AE$4:AE$62)</f>
        <v>0</v>
      </c>
      <c r="AF67" s="39">
        <f>SUBTOTAL(109,AF$4:AF$61)</f>
        <v>0</v>
      </c>
      <c r="AG67" s="39"/>
      <c r="AH67" s="39">
        <f>SUBTOTAL(109,AH$4:AH$62)</f>
        <v>0</v>
      </c>
      <c r="AI67" s="39">
        <f>SUBTOTAL(109,AI$4:AI$61)</f>
        <v>0</v>
      </c>
      <c r="AJ67" s="39"/>
      <c r="AK67" s="39">
        <f>SUBTOTAL(109,AK$4:AK$62)</f>
        <v>0</v>
      </c>
      <c r="AL67" s="39">
        <f>SUBTOTAL(109,AL$4:AL$61)</f>
        <v>0</v>
      </c>
      <c r="AM67" s="39"/>
      <c r="AN67" s="39">
        <f>SUBTOTAL(109,AN$4:AN$62)</f>
        <v>0</v>
      </c>
      <c r="AO67" s="39">
        <f>SUBTOTAL(109,AO$4:AO$61)</f>
        <v>0</v>
      </c>
      <c r="AP67" s="39"/>
      <c r="AQ67" s="39">
        <f>SUBTOTAL(109,AQ$4:AQ$62)</f>
        <v>0</v>
      </c>
      <c r="AR67" s="39">
        <f>SUBTOTAL(109,AR$4:AR$61)</f>
        <v>0</v>
      </c>
      <c r="AS67" s="39"/>
      <c r="AT67" s="39">
        <f>SUBTOTAL(109,AT$4:AT$62)</f>
        <v>0</v>
      </c>
      <c r="AU67" s="39">
        <f>SUBTOTAL(109,AU$4:AU$61)</f>
        <v>0</v>
      </c>
      <c r="AV67" s="39"/>
      <c r="AW67" s="39">
        <f>SUBTOTAL(109,AW$4:AW$62)</f>
        <v>0</v>
      </c>
      <c r="AX67" s="39">
        <f>SUBTOTAL(109,AX$4:AX$61)</f>
        <v>0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 xr:uid="{00000000-0009-0000-0000-000000000000}"/>
  <mergeCells count="48">
    <mergeCell ref="AE63:AF63"/>
    <mergeCell ref="AB63:AC63"/>
    <mergeCell ref="Y63:Z63"/>
    <mergeCell ref="AE1:AG1"/>
    <mergeCell ref="AB1:AD1"/>
    <mergeCell ref="Y1:AA1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3:AU63"/>
    <mergeCell ref="AW63:AX63"/>
    <mergeCell ref="AH63:AI63"/>
    <mergeCell ref="AK63:AL63"/>
    <mergeCell ref="AN63:AO63"/>
    <mergeCell ref="AQ63:AR63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H4:I61 A4:E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 xr:uid="{00000000-0002-0000-0000-000000000000}">
      <formula1>Members</formula1>
    </dataValidation>
    <dataValidation type="list" allowBlank="1" showInputMessage="1" showErrorMessage="1" sqref="A4:A61" xr:uid="{00000000-0002-0000-0000-000001000000}">
      <formula1>Worktype</formula1>
    </dataValidation>
    <dataValidation type="list" allowBlank="1" showInputMessage="1" showErrorMessage="1" sqref="B4:B61" xr:uid="{00000000-0002-0000-0000-000002000000}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H51"/>
  <sheetViews>
    <sheetView workbookViewId="0">
      <selection activeCell="K33" sqref="K3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43791</v>
      </c>
      <c r="F20" s="164">
        <f t="shared" si="0"/>
        <v>43792</v>
      </c>
      <c r="G20" s="164">
        <f t="shared" si="0"/>
        <v>43793</v>
      </c>
      <c r="H20" s="164">
        <f t="shared" si="0"/>
        <v>43794</v>
      </c>
      <c r="I20" s="164">
        <f t="shared" si="0"/>
        <v>43795</v>
      </c>
      <c r="J20" s="164">
        <f t="shared" si="0"/>
        <v>43796</v>
      </c>
      <c r="K20" s="164">
        <f t="shared" si="0"/>
        <v>43797</v>
      </c>
      <c r="L20" s="164">
        <f t="shared" si="0"/>
        <v>43798</v>
      </c>
      <c r="M20" s="164">
        <f t="shared" si="0"/>
        <v>43799</v>
      </c>
      <c r="N20" s="164">
        <f t="shared" si="0"/>
        <v>43800</v>
      </c>
      <c r="O20" s="164">
        <f t="shared" si="0"/>
        <v>43801</v>
      </c>
      <c r="P20" s="164">
        <f t="shared" si="0"/>
        <v>43802</v>
      </c>
      <c r="Q20" s="164">
        <f t="shared" si="0"/>
        <v>43803</v>
      </c>
      <c r="R20" s="164">
        <f t="shared" si="0"/>
        <v>43804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 t="e">
        <f t="shared" ref="E22:R22" ca="1" si="1">IF(E20&gt;TODAY(), #N/A, SUM(INDEX(Burndown,,(E19-1)*BurndownColumns+HoursLeftColumn)))</f>
        <v>#N/A</v>
      </c>
      <c r="F22" s="162" t="e">
        <f t="shared" ca="1" si="1"/>
        <v>#N/A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 t="e">
        <f t="shared" ref="E23:R23" ca="1" si="2">IF(E20&gt;TODAY(), #N/A, SUM(INDEX(Burndown,,(E19-1)*BurndownColumns+HoursSpentColumn)))</f>
        <v>#N/A</v>
      </c>
      <c r="F23" s="163" t="e">
        <f t="shared" ca="1" si="2"/>
        <v>#N/A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 t="e">
        <f ca="1">IF(E20&gt;TODAY(), #N/A, SUM($E23:E23))</f>
        <v>#N/A</v>
      </c>
      <c r="F24" s="163" t="e">
        <f ca="1">IF(F20&gt;TODAY(), #N/A, SUM($E23:F23))</f>
        <v>#N/A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 t="e">
        <f t="shared" ref="E25:R25" ca="1" si="3">IF(E20&gt;TODAY(), #N/A, E22+E24)</f>
        <v>#N/A</v>
      </c>
      <c r="F25" s="163" t="e">
        <f t="shared" ca="1" si="3"/>
        <v>#N/A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 t="e">
        <f t="shared" ref="E27:R27" ca="1" si="4">IF(E20&gt;TODAY(), #N/A, E24/E19)</f>
        <v>#N/A</v>
      </c>
      <c r="F27" s="168" t="e">
        <f t="shared" ca="1" si="4"/>
        <v>#N/A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 t="e">
        <f t="shared" ref="E28:R28" ca="1" si="5">IF(E20&gt;TODAY(), #N/A, IF(E27=0, SprintStart, E20 + (E22/E27)))</f>
        <v>#N/A</v>
      </c>
      <c r="F28" s="169" t="e">
        <f t="shared" ca="1" si="5"/>
        <v>#N/A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 t="e">
        <f t="shared" ref="E29:R29" ca="1" si="6">IF(E$20&gt;TODAY(), #N/A, IF(E$33&gt;0, SprintStart+((E$25*E$19)/E$33)-1, SprintStart))</f>
        <v>#N/A</v>
      </c>
      <c r="F29" s="169" t="e">
        <f t="shared" ca="1" si="6"/>
        <v>#N/A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 t="e">
        <f t="shared" ref="E31:R31" ca="1" si="7">IF(E$20&gt;TODAY(), #N/A, SUMIF(INDEX(Burndown,,(E$19-1)*BurndownColumns+StatusColumn), "=Pending",INDEX(Burndown,,(E$19-1)*BurndownColumns+HoursLeftColumn)))</f>
        <v>#N/A</v>
      </c>
      <c r="F31" s="165" t="e">
        <f t="shared" ca="1" si="7"/>
        <v>#N/A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 t="e">
        <f t="shared" ref="E32:R32" ca="1" si="8">E$22-E$31+E$24-E$33</f>
        <v>#N/A</v>
      </c>
      <c r="F32" s="170" t="e">
        <f t="shared" ca="1" si="8"/>
        <v>#N/A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 t="e">
        <f t="shared" ref="E33:R33" ca="1" si="9">IF(E$20&gt;TODAY(), #N/A, SUMIF(INDEX(Burndown,,(E$19-1)*BurndownColumns+StatusColumn), "=Complete",TotalEffort))</f>
        <v>#N/A</v>
      </c>
      <c r="F33" s="165" t="e">
        <f t="shared" ca="1" si="9"/>
        <v>#N/A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 t="e">
        <f t="shared" ref="E35:R35" ca="1" si="10">IF(E20&gt;TODAY(), #N/A, COUNTIF(INDEX(Burndown,,(E19-1)*BurndownColumns+StatusColumn), "=Pending"))</f>
        <v>#N/A</v>
      </c>
      <c r="F35" s="165" t="e">
        <f t="shared" ca="1" si="10"/>
        <v>#N/A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 t="e">
        <f t="shared" ref="E36:R36" ca="1" si="11">IF(E20&gt;TODAY(), #N/A, COUNTIF(INDEX(Burndown,,(E19-1)*BurndownColumns+StatusColumn), "=In Progress"))</f>
        <v>#N/A</v>
      </c>
      <c r="F36" s="165" t="e">
        <f t="shared" ca="1" si="11"/>
        <v>#N/A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 t="e">
        <f t="shared" ref="E37:R37" ca="1" si="12">IF(E20&gt;TODAY(), #N/A, COUNTIF(INDEX(Burndown,,(E19-1)*BurndownColumns+StatusColumn), "=Complete"))</f>
        <v>#N/A</v>
      </c>
      <c r="F37" s="165" t="e">
        <f t="shared" ca="1" si="12"/>
        <v>#N/A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L45"/>
  <sheetViews>
    <sheetView tabSelected="1"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P4" sqref="P4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Mon</v>
      </c>
      <c r="E2" s="48">
        <f ca="1">TODAY()</f>
        <v>43787</v>
      </c>
    </row>
    <row r="3" spans="2:28" ht="13.5" thickBot="1" x14ac:dyDescent="0.25">
      <c r="B3" s="49" t="s">
        <v>43</v>
      </c>
      <c r="C3" s="50"/>
      <c r="D3" s="51" t="str">
        <f>TEXT(E3,"ddd")</f>
        <v>Fri</v>
      </c>
      <c r="E3" s="52">
        <v>43791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5" t="s">
        <v>47</v>
      </c>
      <c r="C5" s="196"/>
      <c r="D5" s="196"/>
      <c r="E5" s="196"/>
      <c r="F5" s="196"/>
      <c r="G5" s="197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9</v>
      </c>
      <c r="D6" s="62"/>
      <c r="E6" s="63" t="s">
        <v>56</v>
      </c>
      <c r="F6" s="64">
        <v>5</v>
      </c>
      <c r="G6" s="65"/>
      <c r="I6" s="66">
        <f>IF(D3="Mon",E3-0,IF(D3="Tue",E3-1,IF(D3="Wed",E3-2,IF(D3="Thu",E3-3,IF(D3="Fri",E3-4,IF(D3="Sat",E3-5,IF(D3="Sun",E3-6,"False")))))))</f>
        <v>43787</v>
      </c>
      <c r="J6" s="67">
        <f t="shared" ref="J6:O6" si="0">I6+1</f>
        <v>43788</v>
      </c>
      <c r="K6" s="67">
        <f t="shared" si="0"/>
        <v>43789</v>
      </c>
      <c r="L6" s="67">
        <f t="shared" si="0"/>
        <v>43790</v>
      </c>
      <c r="M6" s="67">
        <f t="shared" si="0"/>
        <v>43791</v>
      </c>
      <c r="N6" s="68">
        <f t="shared" si="0"/>
        <v>43792</v>
      </c>
      <c r="O6" s="68">
        <f t="shared" si="0"/>
        <v>43793</v>
      </c>
      <c r="P6" s="69">
        <f>I6+4</f>
        <v>43791</v>
      </c>
      <c r="Q6" s="67">
        <f t="shared" ref="Q6:V6" si="1">P6+1</f>
        <v>43792</v>
      </c>
      <c r="R6" s="67">
        <f t="shared" si="1"/>
        <v>43793</v>
      </c>
      <c r="S6" s="67">
        <f t="shared" si="1"/>
        <v>43794</v>
      </c>
      <c r="T6" s="67">
        <f t="shared" si="1"/>
        <v>43795</v>
      </c>
      <c r="U6" s="68">
        <f t="shared" si="1"/>
        <v>43796</v>
      </c>
      <c r="V6" s="68">
        <f t="shared" si="1"/>
        <v>43797</v>
      </c>
      <c r="W6" s="198"/>
      <c r="X6" s="199"/>
      <c r="Y6" s="199"/>
      <c r="Z6" s="199"/>
      <c r="AA6" s="199"/>
      <c r="AB6" s="200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 x14ac:dyDescent="0.25">
      <c r="B8" s="78" t="s">
        <v>37</v>
      </c>
      <c r="C8" s="79">
        <f>SUM(G8:G25)</f>
        <v>0</v>
      </c>
      <c r="D8" s="80"/>
      <c r="E8" s="81"/>
      <c r="F8" s="82">
        <v>1</v>
      </c>
      <c r="G8" s="83">
        <f>SUMIF(Sprint!$F$4:$F$1854,E8,Sprint!$AX$4:$AX$1854)</f>
        <v>0</v>
      </c>
      <c r="H8" s="84"/>
      <c r="I8" s="90">
        <f t="shared" ref="I8:J18" si="2">IF(I$6&lt;$E$3,0,IF(ISBLANK($E8),0,IF(I$6&lt;$E$2,0,1)))</f>
        <v>0</v>
      </c>
      <c r="J8" s="91">
        <f t="shared" si="2"/>
        <v>0</v>
      </c>
      <c r="K8" s="91">
        <f t="shared" ref="K8:M23" si="3">IF(K$6&lt;$E$3,0,IF(ISBLANK($E8),0,IF(K$6&lt;$E$2,0,1)))</f>
        <v>0</v>
      </c>
      <c r="L8" s="91">
        <f t="shared" si="3"/>
        <v>0</v>
      </c>
      <c r="M8" s="91">
        <f t="shared" si="3"/>
        <v>0</v>
      </c>
      <c r="N8" s="85"/>
      <c r="O8" s="86"/>
      <c r="P8" s="90">
        <f t="shared" ref="P8:T18" si="4">IF(P$6&lt;$E$3,0,IF(ISBLANK($E8),0,IF(P$6&lt;$E$2,0,1)))</f>
        <v>0</v>
      </c>
      <c r="Q8" s="91">
        <f t="shared" si="4"/>
        <v>0</v>
      </c>
      <c r="R8" s="91">
        <f t="shared" si="4"/>
        <v>0</v>
      </c>
      <c r="S8" s="91">
        <f t="shared" si="4"/>
        <v>0</v>
      </c>
      <c r="T8" s="91">
        <f t="shared" si="4"/>
        <v>0</v>
      </c>
      <c r="U8" s="85"/>
      <c r="V8" s="86"/>
      <c r="W8" s="192">
        <f t="shared" ref="W8:W25" si="5">IF(E8="unassigned",0,(COUNTIF(I8:V8,1)*$C$6)*F8)</f>
        <v>0</v>
      </c>
      <c r="X8" s="193"/>
      <c r="Y8" s="193"/>
      <c r="Z8" s="193"/>
      <c r="AA8" s="193"/>
      <c r="AB8" s="194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>SUMIF(Sprint!$F$4:$F$1854,E9,Sprint!$AX$4:$AX$1854)</f>
        <v>0</v>
      </c>
      <c r="H9" s="84"/>
      <c r="I9" s="90">
        <f t="shared" si="2"/>
        <v>0</v>
      </c>
      <c r="J9" s="91">
        <f t="shared" si="2"/>
        <v>0</v>
      </c>
      <c r="K9" s="91">
        <f t="shared" si="3"/>
        <v>0</v>
      </c>
      <c r="L9" s="91">
        <f t="shared" si="3"/>
        <v>0</v>
      </c>
      <c r="M9" s="91">
        <f t="shared" si="3"/>
        <v>0</v>
      </c>
      <c r="N9" s="92"/>
      <c r="O9" s="93"/>
      <c r="P9" s="90">
        <f t="shared" si="4"/>
        <v>0</v>
      </c>
      <c r="Q9" s="91">
        <f t="shared" si="4"/>
        <v>0</v>
      </c>
      <c r="R9" s="91">
        <f t="shared" si="4"/>
        <v>0</v>
      </c>
      <c r="S9" s="91">
        <f t="shared" si="4"/>
        <v>0</v>
      </c>
      <c r="T9" s="91">
        <f t="shared" si="4"/>
        <v>0</v>
      </c>
      <c r="U9" s="92"/>
      <c r="V9" s="93"/>
      <c r="W9" s="192">
        <f t="shared" si="5"/>
        <v>0</v>
      </c>
      <c r="X9" s="193"/>
      <c r="Y9" s="193"/>
      <c r="Z9" s="193"/>
      <c r="AA9" s="193"/>
      <c r="AB9" s="194"/>
    </row>
    <row r="10" spans="2:28" ht="13.5" thickBot="1" x14ac:dyDescent="0.25">
      <c r="B10" s="94" t="s">
        <v>39</v>
      </c>
      <c r="C10" s="95">
        <f>C8-C9</f>
        <v>0</v>
      </c>
      <c r="D10" s="62"/>
      <c r="E10" s="18"/>
      <c r="F10" s="89">
        <v>0.3</v>
      </c>
      <c r="G10" s="83">
        <f>SUMIF(Sprint!$F$4:$F$1854,E10,Sprint!$AX$4:$AX$1854)</f>
        <v>0</v>
      </c>
      <c r="H10" s="84"/>
      <c r="I10" s="90">
        <f t="shared" si="2"/>
        <v>0</v>
      </c>
      <c r="J10" s="91">
        <f t="shared" si="2"/>
        <v>0</v>
      </c>
      <c r="K10" s="91">
        <f t="shared" si="3"/>
        <v>0</v>
      </c>
      <c r="L10" s="91">
        <f t="shared" si="3"/>
        <v>0</v>
      </c>
      <c r="M10" s="91">
        <f t="shared" si="3"/>
        <v>0</v>
      </c>
      <c r="N10" s="92"/>
      <c r="O10" s="93"/>
      <c r="P10" s="90">
        <f t="shared" si="4"/>
        <v>0</v>
      </c>
      <c r="Q10" s="91">
        <f t="shared" si="4"/>
        <v>0</v>
      </c>
      <c r="R10" s="91">
        <f t="shared" si="4"/>
        <v>0</v>
      </c>
      <c r="S10" s="91">
        <f t="shared" si="4"/>
        <v>0</v>
      </c>
      <c r="T10" s="91">
        <f t="shared" si="4"/>
        <v>0</v>
      </c>
      <c r="U10" s="92"/>
      <c r="V10" s="93"/>
      <c r="W10" s="192">
        <f t="shared" si="5"/>
        <v>0</v>
      </c>
      <c r="X10" s="193"/>
      <c r="Y10" s="193"/>
      <c r="Z10" s="193"/>
      <c r="AA10" s="193"/>
      <c r="AB10" s="194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SUMIF(Sprint!$F$4:$F$1854,E11,Sprint!$AX$4:$AX$1854)</f>
        <v>0</v>
      </c>
      <c r="H11" s="84"/>
      <c r="I11" s="90">
        <f t="shared" si="2"/>
        <v>0</v>
      </c>
      <c r="J11" s="91">
        <f t="shared" si="2"/>
        <v>0</v>
      </c>
      <c r="K11" s="91">
        <f t="shared" si="3"/>
        <v>0</v>
      </c>
      <c r="L11" s="91">
        <f t="shared" si="3"/>
        <v>0</v>
      </c>
      <c r="M11" s="91">
        <f t="shared" si="3"/>
        <v>0</v>
      </c>
      <c r="N11" s="92"/>
      <c r="O11" s="93"/>
      <c r="P11" s="90">
        <f t="shared" si="4"/>
        <v>0</v>
      </c>
      <c r="Q11" s="91">
        <f t="shared" si="4"/>
        <v>0</v>
      </c>
      <c r="R11" s="91">
        <f t="shared" si="4"/>
        <v>0</v>
      </c>
      <c r="S11" s="91">
        <f t="shared" si="4"/>
        <v>0</v>
      </c>
      <c r="T11" s="91">
        <f t="shared" si="4"/>
        <v>0</v>
      </c>
      <c r="U11" s="92"/>
      <c r="V11" s="93"/>
      <c r="W11" s="192">
        <f t="shared" si="5"/>
        <v>0</v>
      </c>
      <c r="X11" s="193"/>
      <c r="Y11" s="193"/>
      <c r="Z11" s="193"/>
      <c r="AA11" s="193"/>
      <c r="AB11" s="194"/>
    </row>
    <row r="12" spans="2:28" ht="13.5" thickBot="1" x14ac:dyDescent="0.25">
      <c r="B12" s="96"/>
      <c r="D12" s="97"/>
      <c r="E12" s="18"/>
      <c r="F12" s="89"/>
      <c r="G12" s="83">
        <f>SUMIF(Sprint!$F$4:$F$1854,E12,Sprint!$AX$4:$AX$1854)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2">
        <f t="shared" si="5"/>
        <v>0</v>
      </c>
      <c r="X12" s="193"/>
      <c r="Y12" s="193"/>
      <c r="Z12" s="193"/>
      <c r="AA12" s="193"/>
      <c r="AB12" s="194"/>
    </row>
    <row r="13" spans="2:28" ht="13.5" thickBot="1" x14ac:dyDescent="0.25">
      <c r="B13" s="96"/>
      <c r="D13" s="98"/>
      <c r="E13" s="18"/>
      <c r="F13" s="89"/>
      <c r="G13" s="83">
        <f>SUMIF(Sprint!$F$4:$F$1854,E13,Sprint!$AX$4:$AX$1854)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2">
        <f t="shared" si="5"/>
        <v>0</v>
      </c>
      <c r="X13" s="193"/>
      <c r="Y13" s="193"/>
      <c r="Z13" s="193"/>
      <c r="AA13" s="193"/>
      <c r="AB13" s="194"/>
    </row>
    <row r="14" spans="2:28" ht="13.5" thickBot="1" x14ac:dyDescent="0.25">
      <c r="B14" s="96"/>
      <c r="D14" s="62"/>
      <c r="E14" s="18"/>
      <c r="F14" s="89"/>
      <c r="G14" s="83">
        <f>SUMIF(Sprint!$F$4:$F$1854,E14,Sprint!$AX$4:$AX$1854)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2">
        <f t="shared" si="5"/>
        <v>0</v>
      </c>
      <c r="X14" s="193"/>
      <c r="Y14" s="193"/>
      <c r="Z14" s="193"/>
      <c r="AA14" s="193"/>
      <c r="AB14" s="194"/>
    </row>
    <row r="15" spans="2:28" ht="13.5" thickBot="1" x14ac:dyDescent="0.25">
      <c r="B15" s="96"/>
      <c r="D15" s="62"/>
      <c r="E15" s="18"/>
      <c r="F15" s="89"/>
      <c r="G15" s="83">
        <f>SUMIF(Sprint!$F$4:$F$1854,E15,Sprint!$AX$4:$AX$1854)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2">
        <f t="shared" si="5"/>
        <v>0</v>
      </c>
      <c r="X15" s="193"/>
      <c r="Y15" s="193"/>
      <c r="Z15" s="193"/>
      <c r="AA15" s="193"/>
      <c r="AB15" s="194"/>
    </row>
    <row r="16" spans="2:28" ht="13.5" thickBot="1" x14ac:dyDescent="0.25">
      <c r="B16" s="96"/>
      <c r="D16" s="98"/>
      <c r="E16" s="18"/>
      <c r="F16" s="89"/>
      <c r="G16" s="83">
        <f>SUMIF(Sprint!$F$4:$F$1854,E16,Sprint!$AX$4:$AX$1854)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2">
        <f t="shared" si="5"/>
        <v>0</v>
      </c>
      <c r="X16" s="193"/>
      <c r="Y16" s="193"/>
      <c r="Z16" s="193"/>
      <c r="AA16" s="193"/>
      <c r="AB16" s="194"/>
    </row>
    <row r="17" spans="2:28" ht="13.5" thickBot="1" x14ac:dyDescent="0.25">
      <c r="B17" s="96"/>
      <c r="D17" s="98"/>
      <c r="E17" s="18"/>
      <c r="F17" s="89"/>
      <c r="G17" s="83">
        <f>SUMIF(Sprint!$F$4:$F$1854,E17,Sprint!$AX$4:$AX$1854)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2">
        <f t="shared" si="5"/>
        <v>0</v>
      </c>
      <c r="X17" s="193"/>
      <c r="Y17" s="193"/>
      <c r="Z17" s="193"/>
      <c r="AA17" s="193"/>
      <c r="AB17" s="194"/>
    </row>
    <row r="18" spans="2:28" ht="13.5" thickBot="1" x14ac:dyDescent="0.25">
      <c r="B18" s="96"/>
      <c r="D18" s="98"/>
      <c r="E18" s="18"/>
      <c r="F18" s="89"/>
      <c r="G18" s="83">
        <f>SUMIF(Sprint!$F$4:$F$1854,E18,Sprint!$AX$4:$AX$1854)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2">
        <f t="shared" si="5"/>
        <v>0</v>
      </c>
      <c r="X18" s="193"/>
      <c r="Y18" s="193"/>
      <c r="Z18" s="193"/>
      <c r="AA18" s="193"/>
      <c r="AB18" s="194"/>
    </row>
    <row r="19" spans="2:28" ht="13.5" thickBot="1" x14ac:dyDescent="0.25">
      <c r="B19" s="96"/>
      <c r="D19" s="98"/>
      <c r="E19" s="18"/>
      <c r="F19" s="89"/>
      <c r="G19" s="83">
        <f>SUMIF(Sprint!$F$4:$F$1854,E19,Sprint!$AX$4:$AX$1854)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2">
        <f t="shared" si="5"/>
        <v>0</v>
      </c>
      <c r="X19" s="193"/>
      <c r="Y19" s="193"/>
      <c r="Z19" s="193"/>
      <c r="AA19" s="193"/>
      <c r="AB19" s="194"/>
    </row>
    <row r="20" spans="2:28" ht="13.5" thickBot="1" x14ac:dyDescent="0.25">
      <c r="B20" s="96"/>
      <c r="D20" s="98"/>
      <c r="E20" s="18"/>
      <c r="F20" s="89"/>
      <c r="G20" s="83">
        <f>SUMIF(Sprint!$F$4:$F$1854,E20,Sprint!$AX$4:$AX$1854)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2">
        <f t="shared" si="5"/>
        <v>0</v>
      </c>
      <c r="X20" s="193"/>
      <c r="Y20" s="193"/>
      <c r="Z20" s="193"/>
      <c r="AA20" s="193"/>
      <c r="AB20" s="194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SUMIF(Sprint!$F$4:$F$1854,E21,Sprint!$AX$4:$AX$1854)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2">
        <f t="shared" si="5"/>
        <v>0</v>
      </c>
      <c r="X21" s="193"/>
      <c r="Y21" s="193"/>
      <c r="Z21" s="193"/>
      <c r="AA21" s="193"/>
      <c r="AB21" s="194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SUMIF(Sprint!$F$4:$F$1854,E22,Sprint!$AX$4:$AX$1854)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2">
        <f t="shared" si="5"/>
        <v>0</v>
      </c>
      <c r="X22" s="193"/>
      <c r="Y22" s="193"/>
      <c r="Z22" s="193"/>
      <c r="AA22" s="193"/>
      <c r="AB22" s="194"/>
    </row>
    <row r="23" spans="2:28" ht="13.5" thickBot="1" x14ac:dyDescent="0.25">
      <c r="B23" s="70"/>
      <c r="D23" s="98"/>
      <c r="E23" s="18"/>
      <c r="F23" s="102"/>
      <c r="G23" s="83">
        <f>SUMIF(Sprint!$F$4:$F$1854,E23,Sprint!$AX$4:$AX$1854)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2">
        <f t="shared" si="5"/>
        <v>0</v>
      </c>
      <c r="X23" s="193"/>
      <c r="Y23" s="193"/>
      <c r="Z23" s="193"/>
      <c r="AA23" s="193"/>
      <c r="AB23" s="194"/>
    </row>
    <row r="24" spans="2:28" ht="13.5" thickBot="1" x14ac:dyDescent="0.25">
      <c r="B24" s="96"/>
      <c r="D24" s="98"/>
      <c r="E24" s="18"/>
      <c r="F24" s="102"/>
      <c r="G24" s="83">
        <f>SUMIF(Sprint!$F$4:$F$1854,E24,Sprint!$AX$4:$AX$1854)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2">
        <f t="shared" si="5"/>
        <v>0</v>
      </c>
      <c r="X24" s="193"/>
      <c r="Y24" s="193"/>
      <c r="Z24" s="193"/>
      <c r="AA24" s="193"/>
      <c r="AB24" s="194"/>
    </row>
    <row r="25" spans="2:28" ht="13.5" thickBot="1" x14ac:dyDescent="0.25">
      <c r="B25" s="96"/>
      <c r="D25" s="98"/>
      <c r="E25" s="103"/>
      <c r="F25" s="104"/>
      <c r="G25" s="83">
        <f>SUMIF(Sprint!$F$4:$F$1854,E25,Sprint!$AX$4:$AX$1854)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2">
        <f t="shared" si="5"/>
        <v>0</v>
      </c>
      <c r="X25" s="193"/>
      <c r="Y25" s="193"/>
      <c r="Z25" s="193"/>
      <c r="AA25" s="193"/>
      <c r="AB25" s="194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 xr:uid="{00000000-0002-0000-0200-000000000000}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4:I51"/>
  <sheetViews>
    <sheetView workbookViewId="0">
      <selection activeCell="D16" sqref="D16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98</v>
      </c>
      <c r="D8" s="141" t="s">
        <v>133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2">
      <c r="C9" s="140" t="s">
        <v>98</v>
      </c>
      <c r="D9" s="141" t="s">
        <v>133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98</v>
      </c>
      <c r="D10" s="141" t="s">
        <v>133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98</v>
      </c>
      <c r="D11" s="141" t="s">
        <v>133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 t="s">
        <v>98</v>
      </c>
      <c r="D12" s="141" t="s">
        <v>133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98</v>
      </c>
      <c r="D13" s="141" t="s">
        <v>133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98</v>
      </c>
      <c r="D14" s="141" t="s">
        <v>133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134</v>
      </c>
      <c r="D15" s="141" t="s">
        <v>134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33"/>
  <sheetViews>
    <sheetView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COUNTIF(Sprint!$A$4:$A$92, "Feature")</f>
        <v>0</v>
      </c>
      <c r="C2" s="181" t="e">
        <f>B2/$B$6</f>
        <v>#DIV/0!</v>
      </c>
    </row>
    <row r="3" spans="1:3" ht="15" x14ac:dyDescent="0.25">
      <c r="A3" s="174" t="s">
        <v>106</v>
      </c>
      <c r="B3" s="175">
        <f>COUNTIF(Sprint!$A$4:$A$92, "Tax")</f>
        <v>0</v>
      </c>
      <c r="C3" s="181" t="e">
        <f t="shared" ref="C3:C5" si="0">B3/$B$6</f>
        <v>#DIV/0!</v>
      </c>
    </row>
    <row r="4" spans="1:3" ht="15" x14ac:dyDescent="0.25">
      <c r="A4" s="174" t="s">
        <v>107</v>
      </c>
      <c r="B4" s="175">
        <f>COUNTIF(Sprint!$A$4:$A$92, "Precondition")</f>
        <v>0</v>
      </c>
      <c r="C4" s="181" t="e">
        <f t="shared" si="0"/>
        <v>#DIV/0!</v>
      </c>
    </row>
    <row r="5" spans="1:3" ht="15" x14ac:dyDescent="0.25">
      <c r="A5" s="174" t="s">
        <v>108</v>
      </c>
      <c r="B5" s="175">
        <f>COUNTIF(Sprint!$A$4:$A$92, "Spike")</f>
        <v>0</v>
      </c>
      <c r="C5" s="181" t="e">
        <f t="shared" si="0"/>
        <v>#DIV/0!</v>
      </c>
    </row>
    <row r="6" spans="1:3" ht="15" x14ac:dyDescent="0.25">
      <c r="A6" s="176" t="s">
        <v>128</v>
      </c>
      <c r="B6" s="182">
        <f>SUM(B2:B5)</f>
        <v>0</v>
      </c>
      <c r="C6" s="183" t="e">
        <f>SUM(C2:C5)</f>
        <v>#DIV/0!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110</v>
      </c>
      <c r="B9" s="175">
        <f>COUNTIF(Sprint!$B$4:$B$209, "Data Model")</f>
        <v>0</v>
      </c>
      <c r="C9" s="181" t="e">
        <f>B9/$B$25</f>
        <v>#DIV/0!</v>
      </c>
    </row>
    <row r="10" spans="1:3" ht="15" x14ac:dyDescent="0.25">
      <c r="A10" s="174" t="s">
        <v>111</v>
      </c>
      <c r="B10" s="175">
        <f>COUNTIF(Sprint!$B$4:$B$209, "Integration Model")</f>
        <v>0</v>
      </c>
      <c r="C10" s="181" t="e">
        <f>B10/$B$25</f>
        <v>#DIV/0!</v>
      </c>
    </row>
    <row r="11" spans="1:3" ht="15" x14ac:dyDescent="0.25">
      <c r="A11" s="174" t="s">
        <v>112</v>
      </c>
      <c r="B11" s="175">
        <f>COUNTIF(Sprint!$B$4:$B$209, "System Frameworks")</f>
        <v>0</v>
      </c>
      <c r="C11" s="181" t="e">
        <f>B11/$B$25</f>
        <v>#DIV/0!</v>
      </c>
    </row>
    <row r="12" spans="1:3" ht="15" x14ac:dyDescent="0.25">
      <c r="A12" s="174" t="s">
        <v>113</v>
      </c>
      <c r="B12" s="175">
        <f>COUNTIF(Sprint!$B$4:$B$209, "Data Conversions")</f>
        <v>0</v>
      </c>
      <c r="C12" s="181" t="e">
        <f t="shared" ref="C12:C24" si="1">B12/$B$25</f>
        <v>#DIV/0!</v>
      </c>
    </row>
    <row r="13" spans="1:3" ht="15" x14ac:dyDescent="0.25">
      <c r="A13" s="174" t="s">
        <v>114</v>
      </c>
      <c r="B13" s="175">
        <f>COUNTIF(Sprint!$B$4:$B$209, "Security")</f>
        <v>0</v>
      </c>
      <c r="C13" s="181" t="e">
        <f t="shared" si="1"/>
        <v>#DIV/0!</v>
      </c>
    </row>
    <row r="14" spans="1:3" ht="15" x14ac:dyDescent="0.25">
      <c r="A14" s="174" t="s">
        <v>115</v>
      </c>
      <c r="B14" s="175">
        <f>COUNTIF(Sprint!$B$4:$B$209, "Cash Payment Tracking")</f>
        <v>0</v>
      </c>
      <c r="C14" s="181" t="e">
        <f t="shared" si="1"/>
        <v>#DIV/0!</v>
      </c>
    </row>
    <row r="15" spans="1:3" ht="15" x14ac:dyDescent="0.25">
      <c r="A15" s="174" t="s">
        <v>116</v>
      </c>
      <c r="B15" s="175">
        <f>COUNTIF(Sprint!$B$4:$B$209, "Views")</f>
        <v>0</v>
      </c>
      <c r="C15" s="181" t="e">
        <f t="shared" si="1"/>
        <v>#DIV/0!</v>
      </c>
    </row>
    <row r="16" spans="1:3" ht="15" x14ac:dyDescent="0.25">
      <c r="A16" s="174" t="s">
        <v>117</v>
      </c>
      <c r="B16" s="175">
        <f>COUNTIF(Sprint!$B$4:$B$209, "Lookups")</f>
        <v>0</v>
      </c>
      <c r="C16" s="181" t="e">
        <f t="shared" si="1"/>
        <v>#DIV/0!</v>
      </c>
    </row>
    <row r="17" spans="1:3" ht="15" x14ac:dyDescent="0.25">
      <c r="A17" s="174" t="s">
        <v>118</v>
      </c>
      <c r="B17" s="175">
        <f>COUNTIF(Sprint!$B$4:$B$209, "Detail screens")</f>
        <v>0</v>
      </c>
      <c r="C17" s="181" t="e">
        <f t="shared" si="1"/>
        <v>#DIV/0!</v>
      </c>
    </row>
    <row r="18" spans="1:3" ht="15" x14ac:dyDescent="0.25">
      <c r="A18" s="174" t="s">
        <v>119</v>
      </c>
      <c r="B18" s="175">
        <f>COUNTIF(Sprint!$B$4:$B$209, "Notifications")</f>
        <v>0</v>
      </c>
      <c r="C18" s="181" t="e">
        <f t="shared" si="1"/>
        <v>#DIV/0!</v>
      </c>
    </row>
    <row r="19" spans="1:3" ht="15" x14ac:dyDescent="0.25">
      <c r="A19" s="174" t="s">
        <v>120</v>
      </c>
      <c r="B19" s="175">
        <f>COUNTIF(Sprint!$B$4:$B$209, "Reports")</f>
        <v>0</v>
      </c>
      <c r="C19" s="181" t="e">
        <f t="shared" si="1"/>
        <v>#DIV/0!</v>
      </c>
    </row>
    <row r="20" spans="1:3" ht="15" x14ac:dyDescent="0.25">
      <c r="A20" s="174" t="s">
        <v>121</v>
      </c>
      <c r="B20" s="175">
        <f>COUNTIF(Sprint!$B$4:$B$209, "Installation Package")</f>
        <v>0</v>
      </c>
      <c r="C20" s="181" t="e">
        <f t="shared" si="1"/>
        <v>#DIV/0!</v>
      </c>
    </row>
    <row r="21" spans="1:3" ht="15" x14ac:dyDescent="0.25">
      <c r="A21" s="174" t="s">
        <v>122</v>
      </c>
      <c r="B21" s="175">
        <f>COUNTIF(Sprint!$B$4:$B$209, "Deployment")</f>
        <v>0</v>
      </c>
      <c r="C21" s="181" t="e">
        <f t="shared" si="1"/>
        <v>#DIV/0!</v>
      </c>
    </row>
    <row r="22" spans="1:3" ht="15" x14ac:dyDescent="0.25">
      <c r="A22" s="174" t="s">
        <v>123</v>
      </c>
      <c r="B22" s="175">
        <f>COUNTIF(Sprint!$B$4:$B$209, "Documentation")</f>
        <v>0</v>
      </c>
      <c r="C22" s="181" t="e">
        <f t="shared" si="1"/>
        <v>#DIV/0!</v>
      </c>
    </row>
    <row r="23" spans="1:3" ht="15" x14ac:dyDescent="0.25">
      <c r="A23" s="174" t="s">
        <v>124</v>
      </c>
      <c r="B23" s="175">
        <f>COUNTIF(Sprint!$B$4:$B$209, "Testing")</f>
        <v>0</v>
      </c>
      <c r="C23" s="181" t="e">
        <f t="shared" si="1"/>
        <v>#DIV/0!</v>
      </c>
    </row>
    <row r="24" spans="1:3" ht="15" x14ac:dyDescent="0.25">
      <c r="A24" s="174" t="s">
        <v>125</v>
      </c>
      <c r="B24" s="175">
        <f>COUNTIF(Sprint!$B$4:$B$209, "Project Mgt")</f>
        <v>0</v>
      </c>
      <c r="C24" s="181" t="e">
        <f t="shared" si="1"/>
        <v>#DIV/0!</v>
      </c>
    </row>
    <row r="25" spans="1:3" ht="15" x14ac:dyDescent="0.25">
      <c r="A25" s="176" t="s">
        <v>128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127</v>
      </c>
    </row>
    <row r="28" spans="1:3" ht="15" x14ac:dyDescent="0.25">
      <c r="A28" s="174" t="s">
        <v>129</v>
      </c>
      <c r="B28" s="175">
        <f ca="1">COUNTIF(Sprint!$G$4:$G$92, "Complete")</f>
        <v>0</v>
      </c>
      <c r="C28" s="181" t="e">
        <f ca="1">B28/$B$33</f>
        <v>#DIV/0!</v>
      </c>
    </row>
    <row r="29" spans="1:3" ht="15" x14ac:dyDescent="0.25">
      <c r="A29" s="174" t="s">
        <v>130</v>
      </c>
      <c r="B29" s="175">
        <f ca="1">COUNTIF(Sprint!$G$4:$G$92, "In Progress")</f>
        <v>0</v>
      </c>
      <c r="C29" s="181" t="e">
        <f t="shared" ref="C29:C32" ca="1" si="2">B29/$B$33</f>
        <v>#DIV/0!</v>
      </c>
    </row>
    <row r="30" spans="1:3" ht="15" x14ac:dyDescent="0.25">
      <c r="A30" s="174" t="s">
        <v>131</v>
      </c>
      <c r="B30" s="175">
        <f ca="1">COUNTIF(Sprint!$G$4:$G$92, "Pending")</f>
        <v>0</v>
      </c>
      <c r="C30" s="181" t="e">
        <f t="shared" ca="1" si="2"/>
        <v>#DIV/0!</v>
      </c>
    </row>
    <row r="31" spans="1:3" ht="15" x14ac:dyDescent="0.25">
      <c r="A31" s="174" t="s">
        <v>126</v>
      </c>
      <c r="B31" s="175">
        <f ca="1">COUNTIF(Sprint!$G$4:$G$92, "Postponed")</f>
        <v>0</v>
      </c>
      <c r="C31" s="181" t="e">
        <f t="shared" ca="1" si="2"/>
        <v>#DIV/0!</v>
      </c>
    </row>
    <row r="32" spans="1:3" ht="15" x14ac:dyDescent="0.25">
      <c r="A32" s="179" t="s">
        <v>132</v>
      </c>
      <c r="B32" s="175">
        <f ca="1">COUNTIF(Sprint!$G$4:$G$92, "Cancelled")</f>
        <v>0</v>
      </c>
      <c r="C32" s="181" t="e">
        <f t="shared" ca="1" si="2"/>
        <v>#DIV/0!</v>
      </c>
    </row>
    <row r="33" spans="1:3" ht="15" x14ac:dyDescent="0.25">
      <c r="A33" s="184" t="s">
        <v>128</v>
      </c>
      <c r="B33" s="185">
        <f ca="1">SUM(B28:B32)</f>
        <v>0</v>
      </c>
      <c r="C33" s="186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Vshadmin</cp:lastModifiedBy>
  <cp:revision>1</cp:revision>
  <cp:lastPrinted>2005-08-15T09:18:22Z</cp:lastPrinted>
  <dcterms:created xsi:type="dcterms:W3CDTF">2005-01-26T21:50:47Z</dcterms:created>
  <dcterms:modified xsi:type="dcterms:W3CDTF">2019-11-18T11:33:05Z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